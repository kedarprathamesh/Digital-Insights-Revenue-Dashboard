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pivotCache/pivotCacheDefinition2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ashboards\"/>
    </mc:Choice>
  </mc:AlternateContent>
  <xr:revisionPtr revIDLastSave="0" documentId="13_ncr:1_{075ED414-2BC4-4269-A167-4A1EF116B05D}" xr6:coauthVersionLast="47" xr6:coauthVersionMax="47" xr10:uidLastSave="{00000000-0000-0000-0000-000000000000}"/>
  <bookViews>
    <workbookView xWindow="-120" yWindow="-120" windowWidth="29040" windowHeight="15840" activeTab="2" xr2:uid="{D4B937C7-B5C1-4209-9F52-152205EF79BB}"/>
  </bookViews>
  <sheets>
    <sheet name="Web Analytic_Dataset" sheetId="1" r:id="rId1"/>
    <sheet name="Pivot Table" sheetId="5" r:id="rId2"/>
    <sheet name="Dashboard" sheetId="7" r:id="rId3"/>
  </sheets>
  <externalReferences>
    <externalReference r:id="rId4"/>
  </externalReferences>
  <definedNames>
    <definedName name="_xlchart.v1.0" hidden="1">'Pivot Table'!$V$10:$V$21</definedName>
    <definedName name="_xlchart.v1.1" hidden="1">'Pivot Table'!$W$10:$W$21</definedName>
    <definedName name="_xlchart.v1.2" hidden="1">'Pivot Table'!$W$9</definedName>
    <definedName name="_xlcn.WorksheetConnection_WebAnalytic_Dataset.xlsxTable11" hidden="1">Table1[]</definedName>
    <definedName name="_xlcn.WorksheetConnection_WebAnalytic_Dataset.xlsxTable41" hidden="1">Table4</definedName>
    <definedName name="Slicer_Source___Medium">#N/A</definedName>
    <definedName name="Timeline_Date">#N/A</definedName>
    <definedName name="web_analytics">'Web Analytic_Dataset'!$A$1:$U$247</definedName>
  </definedNames>
  <calcPr calcId="191029"/>
  <pivotCaches>
    <pivotCache cacheId="384" r:id="rId5"/>
    <pivotCache cacheId="387" r:id="rId6"/>
    <pivotCache cacheId="390" r:id="rId7"/>
    <pivotCache cacheId="393" r:id="rId8"/>
    <pivotCache cacheId="396" r:id="rId9"/>
    <pivotCache cacheId="399" r:id="rId10"/>
    <pivotCache cacheId="402" r:id="rId11"/>
    <pivotCache cacheId="405" r:id="rId12"/>
    <pivotCache cacheId="408" r:id="rId13"/>
    <pivotCache cacheId="411" r:id="rId14"/>
    <pivotCache cacheId="414" r:id="rId15"/>
    <pivotCache cacheId="417" r:id="rId16"/>
    <pivotCache cacheId="420" r:id="rId17"/>
    <pivotCache cacheId="423" r:id="rId18"/>
    <pivotCache cacheId="426" r:id="rId19"/>
    <pivotCache cacheId="429" r:id="rId20"/>
    <pivotCache cacheId="432" r:id="rId21"/>
    <pivotCache cacheId="435" r:id="rId22"/>
    <pivotCache cacheId="438" r:id="rId23"/>
    <pivotCache cacheId="441" r:id="rId24"/>
  </pivotCaches>
  <extLst>
    <ext xmlns:x14="http://schemas.microsoft.com/office/spreadsheetml/2009/9/main" uri="{876F7934-8845-4945-9796-88D515C7AA90}">
      <x14:pivotCaches>
        <pivotCache cacheId="20" r:id="rId25"/>
      </x14:pivotCaches>
    </ext>
    <ext xmlns:x14="http://schemas.microsoft.com/office/spreadsheetml/2009/9/main" uri="{BBE1A952-AA13-448e-AADC-164F8A28A991}">
      <x14:slicerCaches>
        <x14:slicerCache r:id="rId2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1" r:id="rId27"/>
      </x15:timelineCachePivotCaches>
    </ext>
    <ext xmlns:x15="http://schemas.microsoft.com/office/spreadsheetml/2010/11/main" uri="{D0CA8CA8-9F24-4464-BF8E-62219DCF47F9}">
      <x15:timelineCacheRefs>
        <x15:timelineCacheRef r:id="rId28"/>
      </x15:timelineCacheRefs>
    </ext>
    <ext xmlns:x15="http://schemas.microsoft.com/office/spreadsheetml/2010/11/main" uri="{FCE2AD5D-F65C-4FA6-A056-5C36A1767C68}">
      <x15:dataModel>
        <x15:modelTables>
          <x15:modelTable id="Table4" name="Table4" connection="WorksheetConnection_Web Analytic_Dataset.xlsx!Table4"/>
          <x15:modelTable id="Table1" name="Table1" connection="WorksheetConnection_Web Analytic_Dataset.xlsx!Table1"/>
        </x15:modelTables>
        <x15:extLst>
          <ext xmlns:x16="http://schemas.microsoft.com/office/spreadsheetml/2014/11/main" uri="{9835A34E-60A6-4A7C-AAB8-D5F71C897F49}">
            <x16:modelTimeGroupings>
              <x16:modelTimeGrouping tableName="Table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8" i="7" l="1"/>
  <c r="Y108" i="5"/>
  <c r="X108" i="5"/>
  <c r="W108" i="5"/>
  <c r="V108" i="5"/>
  <c r="Y107" i="5"/>
  <c r="X107" i="5"/>
  <c r="W107" i="5"/>
  <c r="V107" i="5"/>
  <c r="Y106" i="5"/>
  <c r="X106" i="5"/>
  <c r="W106" i="5"/>
  <c r="V106" i="5"/>
  <c r="Y105" i="5"/>
  <c r="X105" i="5"/>
  <c r="W105" i="5"/>
  <c r="V105" i="5"/>
  <c r="Y104" i="5"/>
  <c r="X104" i="5"/>
  <c r="W104" i="5"/>
  <c r="V104" i="5"/>
  <c r="Y103" i="5"/>
  <c r="X103" i="5"/>
  <c r="W103" i="5"/>
  <c r="V103" i="5"/>
  <c r="Y102" i="5"/>
  <c r="X102" i="5"/>
  <c r="W102" i="5"/>
  <c r="V102" i="5"/>
  <c r="Y101" i="5"/>
  <c r="X101" i="5"/>
  <c r="W101" i="5"/>
  <c r="V101" i="5"/>
  <c r="Y100" i="5"/>
  <c r="X100" i="5"/>
  <c r="W100" i="5"/>
  <c r="V100" i="5"/>
  <c r="Y99" i="5"/>
  <c r="X99" i="5"/>
  <c r="W99" i="5"/>
  <c r="V99" i="5"/>
  <c r="Y98" i="5"/>
  <c r="X98" i="5"/>
  <c r="W98" i="5"/>
  <c r="V98" i="5"/>
  <c r="Y97" i="5"/>
  <c r="X97" i="5"/>
  <c r="W97" i="5"/>
  <c r="V97" i="5"/>
  <c r="Y96" i="5"/>
  <c r="X96" i="5"/>
  <c r="W96" i="5"/>
  <c r="N86" i="5"/>
  <c r="G2" i="7" s="1"/>
  <c r="M86" i="5"/>
  <c r="E2" i="7" s="1"/>
  <c r="L86" i="5"/>
  <c r="F2" i="7" s="1"/>
  <c r="K86" i="5"/>
  <c r="J86" i="5"/>
  <c r="D2" i="7" s="1"/>
  <c r="I86" i="5"/>
  <c r="C2" i="7" s="1"/>
  <c r="H86" i="5"/>
  <c r="B2" i="7" s="1"/>
  <c r="N85" i="5"/>
  <c r="M85" i="5"/>
  <c r="L85" i="5"/>
  <c r="K85" i="5"/>
  <c r="J85" i="5"/>
  <c r="I85" i="5"/>
  <c r="H85" i="5"/>
  <c r="N71" i="5"/>
  <c r="M71" i="5"/>
  <c r="Q70" i="5"/>
  <c r="P70" i="5"/>
  <c r="N70" i="5"/>
  <c r="M70" i="5"/>
  <c r="Q69" i="5"/>
  <c r="P69" i="5"/>
  <c r="N69" i="5"/>
  <c r="M69" i="5"/>
  <c r="Q68" i="5"/>
  <c r="P68" i="5"/>
  <c r="N68" i="5"/>
  <c r="M68" i="5"/>
  <c r="Q67" i="5"/>
  <c r="P67" i="5"/>
  <c r="N67" i="5"/>
  <c r="M67" i="5"/>
  <c r="Q66" i="5"/>
  <c r="P66" i="5"/>
  <c r="N66" i="5"/>
  <c r="M66" i="5"/>
  <c r="Q65" i="5"/>
  <c r="P65" i="5"/>
  <c r="N65" i="5"/>
  <c r="M65" i="5"/>
  <c r="Q64" i="5"/>
  <c r="P64" i="5"/>
  <c r="N64" i="5"/>
  <c r="M64" i="5"/>
  <c r="Q63" i="5"/>
  <c r="P63" i="5"/>
  <c r="N63" i="5"/>
  <c r="M63" i="5"/>
  <c r="Q62" i="5"/>
  <c r="P62" i="5"/>
  <c r="N62" i="5"/>
  <c r="M62" i="5"/>
  <c r="Q61" i="5"/>
  <c r="P61" i="5"/>
  <c r="N61" i="5"/>
  <c r="M61" i="5"/>
  <c r="Q60" i="5"/>
  <c r="P60" i="5"/>
  <c r="N60" i="5"/>
  <c r="M60" i="5"/>
  <c r="Q59" i="5"/>
  <c r="P59" i="5"/>
  <c r="N59" i="5"/>
  <c r="Q58" i="5"/>
  <c r="V55" i="5"/>
  <c r="U55" i="5"/>
  <c r="T55" i="5"/>
  <c r="V54" i="5"/>
  <c r="U54" i="5"/>
  <c r="T54" i="5"/>
  <c r="V53" i="5"/>
  <c r="U53" i="5"/>
  <c r="T53" i="5"/>
  <c r="V52" i="5"/>
  <c r="U52" i="5"/>
  <c r="T52" i="5"/>
  <c r="V51" i="5"/>
  <c r="U51" i="5"/>
  <c r="T51" i="5"/>
  <c r="V50" i="5"/>
  <c r="U50" i="5"/>
  <c r="T50" i="5"/>
  <c r="V49" i="5"/>
  <c r="U49" i="5"/>
  <c r="T49" i="5"/>
  <c r="V48" i="5"/>
  <c r="U48" i="5"/>
  <c r="T48" i="5"/>
  <c r="V47" i="5"/>
  <c r="U47" i="5"/>
  <c r="T47" i="5"/>
  <c r="J47" i="5"/>
  <c r="I47" i="5"/>
  <c r="H47" i="5"/>
  <c r="V46" i="5"/>
  <c r="U46" i="5"/>
  <c r="T46" i="5"/>
  <c r="J46" i="5"/>
  <c r="I46" i="5"/>
  <c r="H46" i="5"/>
  <c r="V45" i="5"/>
  <c r="U45" i="5"/>
  <c r="T45" i="5"/>
  <c r="J45" i="5"/>
  <c r="I45" i="5"/>
  <c r="H45" i="5"/>
  <c r="V44" i="5"/>
  <c r="U44" i="5"/>
  <c r="T44" i="5"/>
  <c r="J44" i="5"/>
  <c r="I44" i="5"/>
  <c r="H44" i="5"/>
  <c r="V43" i="5"/>
  <c r="U43" i="5"/>
  <c r="J43" i="5"/>
  <c r="I43" i="5"/>
  <c r="H43" i="5"/>
  <c r="J42" i="5"/>
  <c r="I42" i="5"/>
  <c r="H42" i="5"/>
  <c r="J41" i="5"/>
  <c r="I41" i="5"/>
  <c r="H41" i="5"/>
  <c r="J40" i="5"/>
  <c r="I40" i="5"/>
  <c r="H40" i="5"/>
  <c r="J39" i="5"/>
  <c r="I39" i="5"/>
  <c r="H39" i="5"/>
  <c r="J38" i="5"/>
  <c r="I38" i="5"/>
  <c r="H38" i="5"/>
  <c r="J37" i="5"/>
  <c r="I37" i="5"/>
  <c r="H37" i="5"/>
  <c r="J36" i="5"/>
  <c r="I36" i="5"/>
  <c r="H36" i="5"/>
  <c r="J35" i="5"/>
  <c r="I35" i="5"/>
  <c r="L28" i="5"/>
  <c r="L26" i="5"/>
  <c r="L24" i="5"/>
  <c r="W21" i="5"/>
  <c r="V21" i="5"/>
  <c r="W20" i="5"/>
  <c r="V20" i="5"/>
  <c r="W19" i="5"/>
  <c r="V19" i="5"/>
  <c r="W18" i="5"/>
  <c r="V18" i="5"/>
  <c r="W17" i="5"/>
  <c r="V17" i="5"/>
  <c r="W16" i="5"/>
  <c r="V16" i="5"/>
  <c r="W15" i="5"/>
  <c r="V15" i="5"/>
  <c r="W14" i="5"/>
  <c r="V14" i="5"/>
  <c r="W13" i="5"/>
  <c r="V13" i="5"/>
  <c r="W12" i="5"/>
  <c r="V12" i="5"/>
  <c r="W11" i="5"/>
  <c r="V11" i="5"/>
  <c r="W10" i="5"/>
  <c r="V10" i="5"/>
  <c r="AA9" i="5" s="1"/>
  <c r="Z9" i="5"/>
  <c r="W9" i="5"/>
  <c r="W248" i="1"/>
  <c r="V248" i="1"/>
  <c r="U248" i="1"/>
  <c r="T248" i="1"/>
  <c r="S248" i="1"/>
  <c r="R248" i="1"/>
  <c r="Q248" i="1"/>
  <c r="L248" i="1"/>
  <c r="G248" i="1"/>
  <c r="C248" i="1"/>
  <c r="U247" i="1"/>
  <c r="T247" i="1"/>
  <c r="S247" i="1"/>
  <c r="R247" i="1"/>
  <c r="Q247" i="1"/>
  <c r="L247" i="1"/>
  <c r="G247" i="1"/>
  <c r="C247" i="1"/>
  <c r="U246" i="1"/>
  <c r="T246" i="1"/>
  <c r="S246" i="1"/>
  <c r="R246" i="1"/>
  <c r="Q246" i="1"/>
  <c r="L246" i="1"/>
  <c r="G246" i="1"/>
  <c r="C246" i="1"/>
  <c r="W245" i="1"/>
  <c r="V245" i="1"/>
  <c r="U245" i="1"/>
  <c r="T245" i="1"/>
  <c r="S245" i="1"/>
  <c r="R245" i="1"/>
  <c r="Q245" i="1"/>
  <c r="L245" i="1"/>
  <c r="G245" i="1"/>
  <c r="C245" i="1"/>
  <c r="W244" i="1"/>
  <c r="V244" i="1"/>
  <c r="U244" i="1"/>
  <c r="T244" i="1"/>
  <c r="S244" i="1"/>
  <c r="R244" i="1"/>
  <c r="Q244" i="1"/>
  <c r="L244" i="1"/>
  <c r="G244" i="1"/>
  <c r="C244" i="1"/>
  <c r="U243" i="1"/>
  <c r="T243" i="1"/>
  <c r="S243" i="1"/>
  <c r="R243" i="1"/>
  <c r="Q243" i="1"/>
  <c r="L243" i="1"/>
  <c r="G243" i="1"/>
  <c r="C243" i="1"/>
  <c r="U242" i="1"/>
  <c r="T242" i="1"/>
  <c r="S242" i="1"/>
  <c r="R242" i="1"/>
  <c r="Q242" i="1"/>
  <c r="L242" i="1"/>
  <c r="G242" i="1"/>
  <c r="C242" i="1"/>
  <c r="U241" i="1"/>
  <c r="T241" i="1"/>
  <c r="S241" i="1"/>
  <c r="R241" i="1"/>
  <c r="Q241" i="1"/>
  <c r="L241" i="1"/>
  <c r="G241" i="1"/>
  <c r="C241" i="1"/>
  <c r="W240" i="1"/>
  <c r="V240" i="1"/>
  <c r="U240" i="1"/>
  <c r="T240" i="1"/>
  <c r="S240" i="1"/>
  <c r="R240" i="1"/>
  <c r="Q240" i="1"/>
  <c r="L240" i="1"/>
  <c r="G240" i="1"/>
  <c r="C240" i="1"/>
  <c r="U239" i="1"/>
  <c r="T239" i="1"/>
  <c r="S239" i="1"/>
  <c r="R239" i="1"/>
  <c r="Q239" i="1"/>
  <c r="L239" i="1"/>
  <c r="G239" i="1"/>
  <c r="C239" i="1"/>
  <c r="W238" i="1"/>
  <c r="V238" i="1"/>
  <c r="U238" i="1"/>
  <c r="T238" i="1"/>
  <c r="S238" i="1"/>
  <c r="R238" i="1"/>
  <c r="Q238" i="1"/>
  <c r="L238" i="1"/>
  <c r="G238" i="1"/>
  <c r="C238" i="1"/>
  <c r="W237" i="1"/>
  <c r="V237" i="1"/>
  <c r="U237" i="1"/>
  <c r="T237" i="1"/>
  <c r="S237" i="1"/>
  <c r="R237" i="1"/>
  <c r="Q237" i="1"/>
  <c r="L237" i="1"/>
  <c r="G237" i="1"/>
  <c r="C237" i="1"/>
  <c r="U236" i="1"/>
  <c r="T236" i="1"/>
  <c r="S236" i="1"/>
  <c r="R236" i="1"/>
  <c r="Q236" i="1"/>
  <c r="L236" i="1"/>
  <c r="G236" i="1"/>
  <c r="C236" i="1"/>
  <c r="Y235" i="1"/>
  <c r="U235" i="1"/>
  <c r="T235" i="1"/>
  <c r="S235" i="1"/>
  <c r="R235" i="1"/>
  <c r="Q235" i="1"/>
  <c r="L235" i="1"/>
  <c r="G235" i="1"/>
  <c r="C235" i="1"/>
  <c r="W234" i="1"/>
  <c r="V234" i="1"/>
  <c r="U234" i="1"/>
  <c r="T234" i="1"/>
  <c r="S234" i="1"/>
  <c r="R234" i="1"/>
  <c r="Q234" i="1"/>
  <c r="L234" i="1"/>
  <c r="G234" i="1"/>
  <c r="C234" i="1"/>
  <c r="U233" i="1"/>
  <c r="T233" i="1"/>
  <c r="S233" i="1"/>
  <c r="R233" i="1"/>
  <c r="Q233" i="1"/>
  <c r="L233" i="1"/>
  <c r="G233" i="1"/>
  <c r="C233" i="1"/>
  <c r="W232" i="1"/>
  <c r="V232" i="1"/>
  <c r="U232" i="1"/>
  <c r="T232" i="1"/>
  <c r="S232" i="1"/>
  <c r="R232" i="1"/>
  <c r="Q232" i="1"/>
  <c r="L232" i="1"/>
  <c r="G232" i="1"/>
  <c r="C232" i="1"/>
  <c r="U231" i="1"/>
  <c r="T231" i="1"/>
  <c r="S231" i="1"/>
  <c r="R231" i="1"/>
  <c r="Q231" i="1"/>
  <c r="L231" i="1"/>
  <c r="G231" i="1"/>
  <c r="C231" i="1"/>
  <c r="W230" i="1"/>
  <c r="V230" i="1"/>
  <c r="U230" i="1"/>
  <c r="T230" i="1"/>
  <c r="S230" i="1"/>
  <c r="R230" i="1"/>
  <c r="Q230" i="1"/>
  <c r="L230" i="1"/>
  <c r="G230" i="1"/>
  <c r="C230" i="1"/>
  <c r="U229" i="1"/>
  <c r="T229" i="1"/>
  <c r="S229" i="1"/>
  <c r="R229" i="1"/>
  <c r="Q229" i="1"/>
  <c r="L229" i="1"/>
  <c r="G229" i="1"/>
  <c r="C229" i="1"/>
  <c r="W228" i="1"/>
  <c r="V228" i="1"/>
  <c r="U228" i="1"/>
  <c r="T228" i="1"/>
  <c r="S228" i="1"/>
  <c r="R228" i="1"/>
  <c r="Q228" i="1"/>
  <c r="L228" i="1"/>
  <c r="G228" i="1"/>
  <c r="C228" i="1"/>
  <c r="W227" i="1"/>
  <c r="V227" i="1"/>
  <c r="U227" i="1"/>
  <c r="T227" i="1"/>
  <c r="S227" i="1"/>
  <c r="R227" i="1"/>
  <c r="Q227" i="1"/>
  <c r="L227" i="1"/>
  <c r="G227" i="1"/>
  <c r="C227" i="1"/>
  <c r="U226" i="1"/>
  <c r="T226" i="1"/>
  <c r="S226" i="1"/>
  <c r="R226" i="1"/>
  <c r="Q226" i="1"/>
  <c r="L226" i="1"/>
  <c r="G226" i="1"/>
  <c r="C226" i="1"/>
  <c r="W225" i="1"/>
  <c r="V225" i="1"/>
  <c r="U225" i="1"/>
  <c r="T225" i="1"/>
  <c r="S225" i="1"/>
  <c r="R225" i="1"/>
  <c r="Q225" i="1"/>
  <c r="L225" i="1"/>
  <c r="G225" i="1"/>
  <c r="C225" i="1"/>
  <c r="U224" i="1"/>
  <c r="T224" i="1"/>
  <c r="S224" i="1"/>
  <c r="R224" i="1"/>
  <c r="Q224" i="1"/>
  <c r="L224" i="1"/>
  <c r="G224" i="1"/>
  <c r="C224" i="1"/>
  <c r="W223" i="1"/>
  <c r="V223" i="1"/>
  <c r="U223" i="1"/>
  <c r="T223" i="1"/>
  <c r="S223" i="1"/>
  <c r="R223" i="1"/>
  <c r="Q223" i="1"/>
  <c r="L223" i="1"/>
  <c r="G223" i="1"/>
  <c r="C223" i="1"/>
  <c r="W222" i="1"/>
  <c r="V222" i="1"/>
  <c r="U222" i="1"/>
  <c r="T222" i="1"/>
  <c r="S222" i="1"/>
  <c r="R222" i="1"/>
  <c r="Q222" i="1"/>
  <c r="L222" i="1"/>
  <c r="G222" i="1"/>
  <c r="C222" i="1"/>
  <c r="U221" i="1"/>
  <c r="T221" i="1"/>
  <c r="S221" i="1"/>
  <c r="R221" i="1"/>
  <c r="Q221" i="1"/>
  <c r="L221" i="1"/>
  <c r="G221" i="1"/>
  <c r="C221" i="1"/>
  <c r="U220" i="1"/>
  <c r="T220" i="1"/>
  <c r="S220" i="1"/>
  <c r="R220" i="1"/>
  <c r="Q220" i="1"/>
  <c r="L220" i="1"/>
  <c r="G220" i="1"/>
  <c r="C220" i="1"/>
  <c r="U219" i="1"/>
  <c r="T219" i="1"/>
  <c r="S219" i="1"/>
  <c r="R219" i="1"/>
  <c r="Q219" i="1"/>
  <c r="L219" i="1"/>
  <c r="G219" i="1"/>
  <c r="C219" i="1"/>
  <c r="W218" i="1"/>
  <c r="V218" i="1"/>
  <c r="U218" i="1"/>
  <c r="T218" i="1"/>
  <c r="S218" i="1"/>
  <c r="R218" i="1"/>
  <c r="Q218" i="1"/>
  <c r="L218" i="1"/>
  <c r="G218" i="1"/>
  <c r="C218" i="1"/>
  <c r="U217" i="1"/>
  <c r="T217" i="1"/>
  <c r="S217" i="1"/>
  <c r="R217" i="1"/>
  <c r="Q217" i="1"/>
  <c r="L217" i="1"/>
  <c r="G217" i="1"/>
  <c r="C217" i="1"/>
  <c r="W216" i="1"/>
  <c r="V216" i="1"/>
  <c r="U216" i="1"/>
  <c r="T216" i="1"/>
  <c r="S216" i="1"/>
  <c r="R216" i="1"/>
  <c r="Q216" i="1"/>
  <c r="L216" i="1"/>
  <c r="G216" i="1"/>
  <c r="C216" i="1"/>
  <c r="W215" i="1"/>
  <c r="V215" i="1"/>
  <c r="U215" i="1"/>
  <c r="T215" i="1"/>
  <c r="S215" i="1"/>
  <c r="R215" i="1"/>
  <c r="Q215" i="1"/>
  <c r="L215" i="1"/>
  <c r="G215" i="1"/>
  <c r="C215" i="1"/>
  <c r="W214" i="1"/>
  <c r="V214" i="1"/>
  <c r="U214" i="1"/>
  <c r="T214" i="1"/>
  <c r="S214" i="1"/>
  <c r="R214" i="1"/>
  <c r="Q214" i="1"/>
  <c r="L214" i="1"/>
  <c r="G214" i="1"/>
  <c r="C214" i="1"/>
  <c r="U213" i="1"/>
  <c r="T213" i="1"/>
  <c r="S213" i="1"/>
  <c r="R213" i="1"/>
  <c r="Q213" i="1"/>
  <c r="L213" i="1"/>
  <c r="G213" i="1"/>
  <c r="C213" i="1"/>
  <c r="U212" i="1"/>
  <c r="T212" i="1"/>
  <c r="S212" i="1"/>
  <c r="R212" i="1"/>
  <c r="Q212" i="1"/>
  <c r="L212" i="1"/>
  <c r="G212" i="1"/>
  <c r="C212" i="1"/>
  <c r="U211" i="1"/>
  <c r="T211" i="1"/>
  <c r="S211" i="1"/>
  <c r="R211" i="1"/>
  <c r="Q211" i="1"/>
  <c r="L211" i="1"/>
  <c r="G211" i="1"/>
  <c r="C211" i="1"/>
  <c r="W210" i="1"/>
  <c r="V210" i="1"/>
  <c r="U210" i="1"/>
  <c r="T210" i="1"/>
  <c r="S210" i="1"/>
  <c r="R210" i="1"/>
  <c r="Q210" i="1"/>
  <c r="L210" i="1"/>
  <c r="G210" i="1"/>
  <c r="C210" i="1"/>
  <c r="U209" i="1"/>
  <c r="T209" i="1"/>
  <c r="S209" i="1"/>
  <c r="R209" i="1"/>
  <c r="Q209" i="1"/>
  <c r="L209" i="1"/>
  <c r="G209" i="1"/>
  <c r="C209" i="1"/>
  <c r="U208" i="1"/>
  <c r="T208" i="1"/>
  <c r="S208" i="1"/>
  <c r="R208" i="1"/>
  <c r="Q208" i="1"/>
  <c r="L208" i="1"/>
  <c r="G208" i="1"/>
  <c r="C208" i="1"/>
  <c r="W207" i="1"/>
  <c r="V207" i="1"/>
  <c r="U207" i="1"/>
  <c r="T207" i="1"/>
  <c r="S207" i="1"/>
  <c r="R207" i="1"/>
  <c r="Q207" i="1"/>
  <c r="L207" i="1"/>
  <c r="G207" i="1"/>
  <c r="C207" i="1"/>
  <c r="U206" i="1"/>
  <c r="T206" i="1"/>
  <c r="S206" i="1"/>
  <c r="R206" i="1"/>
  <c r="Q206" i="1"/>
  <c r="L206" i="1"/>
  <c r="G206" i="1"/>
  <c r="C206" i="1"/>
  <c r="U205" i="1"/>
  <c r="T205" i="1"/>
  <c r="S205" i="1"/>
  <c r="R205" i="1"/>
  <c r="Q205" i="1"/>
  <c r="L205" i="1"/>
  <c r="G205" i="1"/>
  <c r="C205" i="1"/>
  <c r="U204" i="1"/>
  <c r="T204" i="1"/>
  <c r="S204" i="1"/>
  <c r="R204" i="1"/>
  <c r="Q204" i="1"/>
  <c r="L204" i="1"/>
  <c r="G204" i="1"/>
  <c r="C204" i="1"/>
  <c r="U203" i="1"/>
  <c r="T203" i="1"/>
  <c r="S203" i="1"/>
  <c r="R203" i="1"/>
  <c r="Q203" i="1"/>
  <c r="L203" i="1"/>
  <c r="G203" i="1"/>
  <c r="C203" i="1"/>
  <c r="U202" i="1"/>
  <c r="T202" i="1"/>
  <c r="S202" i="1"/>
  <c r="R202" i="1"/>
  <c r="Q202" i="1"/>
  <c r="L202" i="1"/>
  <c r="G202" i="1"/>
  <c r="C202" i="1"/>
  <c r="U201" i="1"/>
  <c r="T201" i="1"/>
  <c r="S201" i="1"/>
  <c r="R201" i="1"/>
  <c r="Q201" i="1"/>
  <c r="L201" i="1"/>
  <c r="G201" i="1"/>
  <c r="C201" i="1"/>
  <c r="U200" i="1"/>
  <c r="T200" i="1"/>
  <c r="S200" i="1"/>
  <c r="R200" i="1"/>
  <c r="Q200" i="1"/>
  <c r="L200" i="1"/>
  <c r="G200" i="1"/>
  <c r="C200" i="1"/>
  <c r="W199" i="1"/>
  <c r="V199" i="1"/>
  <c r="U199" i="1"/>
  <c r="T199" i="1"/>
  <c r="S199" i="1"/>
  <c r="R199" i="1"/>
  <c r="Q199" i="1"/>
  <c r="L199" i="1"/>
  <c r="G199" i="1"/>
  <c r="C199" i="1"/>
  <c r="W198" i="1"/>
  <c r="V198" i="1"/>
  <c r="U198" i="1"/>
  <c r="T198" i="1"/>
  <c r="S198" i="1"/>
  <c r="R198" i="1"/>
  <c r="Q198" i="1"/>
  <c r="L198" i="1"/>
  <c r="G198" i="1"/>
  <c r="C198" i="1"/>
  <c r="U197" i="1"/>
  <c r="T197" i="1"/>
  <c r="S197" i="1"/>
  <c r="R197" i="1"/>
  <c r="Q197" i="1"/>
  <c r="L197" i="1"/>
  <c r="G197" i="1"/>
  <c r="C197" i="1"/>
  <c r="W196" i="1"/>
  <c r="V196" i="1"/>
  <c r="U196" i="1"/>
  <c r="T196" i="1"/>
  <c r="S196" i="1"/>
  <c r="R196" i="1"/>
  <c r="Q196" i="1"/>
  <c r="L196" i="1"/>
  <c r="G196" i="1"/>
  <c r="C196" i="1"/>
  <c r="U195" i="1"/>
  <c r="T195" i="1"/>
  <c r="S195" i="1"/>
  <c r="R195" i="1"/>
  <c r="Q195" i="1"/>
  <c r="L195" i="1"/>
  <c r="G195" i="1"/>
  <c r="C195" i="1"/>
  <c r="U194" i="1"/>
  <c r="T194" i="1"/>
  <c r="S194" i="1"/>
  <c r="R194" i="1"/>
  <c r="Q194" i="1"/>
  <c r="L194" i="1"/>
  <c r="G194" i="1"/>
  <c r="C194" i="1"/>
  <c r="W193" i="1"/>
  <c r="V193" i="1"/>
  <c r="U193" i="1"/>
  <c r="T193" i="1"/>
  <c r="S193" i="1"/>
  <c r="R193" i="1"/>
  <c r="Q193" i="1"/>
  <c r="L193" i="1"/>
  <c r="G193" i="1"/>
  <c r="C193" i="1"/>
  <c r="W192" i="1"/>
  <c r="V192" i="1"/>
  <c r="U192" i="1"/>
  <c r="T192" i="1"/>
  <c r="S192" i="1"/>
  <c r="R192" i="1"/>
  <c r="Q192" i="1"/>
  <c r="L192" i="1"/>
  <c r="G192" i="1"/>
  <c r="C192" i="1"/>
  <c r="W191" i="1"/>
  <c r="V191" i="1"/>
  <c r="U191" i="1"/>
  <c r="T191" i="1"/>
  <c r="S191" i="1"/>
  <c r="R191" i="1"/>
  <c r="Q191" i="1"/>
  <c r="L191" i="1"/>
  <c r="G191" i="1"/>
  <c r="C191" i="1"/>
  <c r="U190" i="1"/>
  <c r="T190" i="1"/>
  <c r="S190" i="1"/>
  <c r="R190" i="1"/>
  <c r="Q190" i="1"/>
  <c r="L190" i="1"/>
  <c r="G190" i="1"/>
  <c r="C190" i="1"/>
  <c r="U189" i="1"/>
  <c r="T189" i="1"/>
  <c r="S189" i="1"/>
  <c r="R189" i="1"/>
  <c r="Q189" i="1"/>
  <c r="L189" i="1"/>
  <c r="G189" i="1"/>
  <c r="C189" i="1"/>
  <c r="U188" i="1"/>
  <c r="T188" i="1"/>
  <c r="S188" i="1"/>
  <c r="R188" i="1"/>
  <c r="Q188" i="1"/>
  <c r="L188" i="1"/>
  <c r="G188" i="1"/>
  <c r="C188" i="1"/>
  <c r="U187" i="1"/>
  <c r="T187" i="1"/>
  <c r="S187" i="1"/>
  <c r="R187" i="1"/>
  <c r="Q187" i="1"/>
  <c r="L187" i="1"/>
  <c r="G187" i="1"/>
  <c r="C187" i="1"/>
  <c r="U186" i="1"/>
  <c r="T186" i="1"/>
  <c r="S186" i="1"/>
  <c r="R186" i="1"/>
  <c r="Q186" i="1"/>
  <c r="L186" i="1"/>
  <c r="G186" i="1"/>
  <c r="C186" i="1"/>
  <c r="U185" i="1"/>
  <c r="T185" i="1"/>
  <c r="S185" i="1"/>
  <c r="R185" i="1"/>
  <c r="Q185" i="1"/>
  <c r="L185" i="1"/>
  <c r="G185" i="1"/>
  <c r="C185" i="1"/>
  <c r="U184" i="1"/>
  <c r="T184" i="1"/>
  <c r="S184" i="1"/>
  <c r="R184" i="1"/>
  <c r="Q184" i="1"/>
  <c r="L184" i="1"/>
  <c r="G184" i="1"/>
  <c r="C184" i="1"/>
  <c r="U183" i="1"/>
  <c r="T183" i="1"/>
  <c r="S183" i="1"/>
  <c r="R183" i="1"/>
  <c r="Q183" i="1"/>
  <c r="L183" i="1"/>
  <c r="G183" i="1"/>
  <c r="C183" i="1"/>
  <c r="U182" i="1"/>
  <c r="T182" i="1"/>
  <c r="S182" i="1"/>
  <c r="R182" i="1"/>
  <c r="Q182" i="1"/>
  <c r="L182" i="1"/>
  <c r="G182" i="1"/>
  <c r="C182" i="1"/>
  <c r="W181" i="1"/>
  <c r="V181" i="1"/>
  <c r="U181" i="1"/>
  <c r="T181" i="1"/>
  <c r="S181" i="1"/>
  <c r="R181" i="1"/>
  <c r="Q181" i="1"/>
  <c r="L181" i="1"/>
  <c r="G181" i="1"/>
  <c r="C181" i="1"/>
  <c r="U180" i="1"/>
  <c r="T180" i="1"/>
  <c r="S180" i="1"/>
  <c r="R180" i="1"/>
  <c r="Q180" i="1"/>
  <c r="L180" i="1"/>
  <c r="G180" i="1"/>
  <c r="C180" i="1"/>
  <c r="U179" i="1"/>
  <c r="T179" i="1"/>
  <c r="S179" i="1"/>
  <c r="R179" i="1"/>
  <c r="Q179" i="1"/>
  <c r="L179" i="1"/>
  <c r="G179" i="1"/>
  <c r="C179" i="1"/>
  <c r="U178" i="1"/>
  <c r="T178" i="1"/>
  <c r="S178" i="1"/>
  <c r="R178" i="1"/>
  <c r="Q178" i="1"/>
  <c r="L178" i="1"/>
  <c r="G178" i="1"/>
  <c r="C178" i="1"/>
  <c r="U177" i="1"/>
  <c r="T177" i="1"/>
  <c r="S177" i="1"/>
  <c r="R177" i="1"/>
  <c r="Q177" i="1"/>
  <c r="L177" i="1"/>
  <c r="G177" i="1"/>
  <c r="C177" i="1"/>
  <c r="U176" i="1"/>
  <c r="T176" i="1"/>
  <c r="S176" i="1"/>
  <c r="R176" i="1"/>
  <c r="Q176" i="1"/>
  <c r="L176" i="1"/>
  <c r="G176" i="1"/>
  <c r="C176" i="1"/>
  <c r="U175" i="1"/>
  <c r="T175" i="1"/>
  <c r="S175" i="1"/>
  <c r="R175" i="1"/>
  <c r="Q175" i="1"/>
  <c r="L175" i="1"/>
  <c r="G175" i="1"/>
  <c r="C175" i="1"/>
  <c r="W174" i="1"/>
  <c r="V174" i="1"/>
  <c r="U174" i="1"/>
  <c r="T174" i="1"/>
  <c r="S174" i="1"/>
  <c r="R174" i="1"/>
  <c r="Q174" i="1"/>
  <c r="L174" i="1"/>
  <c r="G174" i="1"/>
  <c r="C174" i="1"/>
  <c r="W173" i="1"/>
  <c r="V173" i="1"/>
  <c r="U173" i="1"/>
  <c r="T173" i="1"/>
  <c r="S173" i="1"/>
  <c r="R173" i="1"/>
  <c r="Q173" i="1"/>
  <c r="L173" i="1"/>
  <c r="G173" i="1"/>
  <c r="C173" i="1"/>
  <c r="W172" i="1"/>
  <c r="V172" i="1"/>
  <c r="U172" i="1"/>
  <c r="T172" i="1"/>
  <c r="S172" i="1"/>
  <c r="R172" i="1"/>
  <c r="Q172" i="1"/>
  <c r="L172" i="1"/>
  <c r="G172" i="1"/>
  <c r="C172" i="1"/>
  <c r="U171" i="1"/>
  <c r="T171" i="1"/>
  <c r="S171" i="1"/>
  <c r="R171" i="1"/>
  <c r="Q171" i="1"/>
  <c r="L171" i="1"/>
  <c r="G171" i="1"/>
  <c r="C171" i="1"/>
  <c r="U170" i="1"/>
  <c r="T170" i="1"/>
  <c r="S170" i="1"/>
  <c r="R170" i="1"/>
  <c r="Q170" i="1"/>
  <c r="L170" i="1"/>
  <c r="G170" i="1"/>
  <c r="C170" i="1"/>
  <c r="W169" i="1"/>
  <c r="V169" i="1"/>
  <c r="U169" i="1"/>
  <c r="T169" i="1"/>
  <c r="S169" i="1"/>
  <c r="R169" i="1"/>
  <c r="Q169" i="1"/>
  <c r="L169" i="1"/>
  <c r="G169" i="1"/>
  <c r="C169" i="1"/>
  <c r="U168" i="1"/>
  <c r="T168" i="1"/>
  <c r="S168" i="1"/>
  <c r="R168" i="1"/>
  <c r="Q168" i="1"/>
  <c r="L168" i="1"/>
  <c r="G168" i="1"/>
  <c r="C168" i="1"/>
  <c r="U167" i="1"/>
  <c r="T167" i="1"/>
  <c r="S167" i="1"/>
  <c r="R167" i="1"/>
  <c r="Q167" i="1"/>
  <c r="L167" i="1"/>
  <c r="G167" i="1"/>
  <c r="C167" i="1"/>
  <c r="U166" i="1"/>
  <c r="T166" i="1"/>
  <c r="S166" i="1"/>
  <c r="R166" i="1"/>
  <c r="Q166" i="1"/>
  <c r="L166" i="1"/>
  <c r="G166" i="1"/>
  <c r="C166" i="1"/>
  <c r="U165" i="1"/>
  <c r="T165" i="1"/>
  <c r="S165" i="1"/>
  <c r="R165" i="1"/>
  <c r="Q165" i="1"/>
  <c r="L165" i="1"/>
  <c r="G165" i="1"/>
  <c r="C165" i="1"/>
  <c r="U164" i="1"/>
  <c r="T164" i="1"/>
  <c r="S164" i="1"/>
  <c r="R164" i="1"/>
  <c r="Q164" i="1"/>
  <c r="L164" i="1"/>
  <c r="G164" i="1"/>
  <c r="C164" i="1"/>
  <c r="U163" i="1"/>
  <c r="T163" i="1"/>
  <c r="S163" i="1"/>
  <c r="R163" i="1"/>
  <c r="Q163" i="1"/>
  <c r="L163" i="1"/>
  <c r="G163" i="1"/>
  <c r="C163" i="1"/>
  <c r="U162" i="1"/>
  <c r="T162" i="1"/>
  <c r="S162" i="1"/>
  <c r="R162" i="1"/>
  <c r="Q162" i="1"/>
  <c r="L162" i="1"/>
  <c r="G162" i="1"/>
  <c r="C162" i="1"/>
  <c r="W161" i="1"/>
  <c r="V161" i="1"/>
  <c r="U161" i="1"/>
  <c r="T161" i="1"/>
  <c r="S161" i="1"/>
  <c r="R161" i="1"/>
  <c r="Q161" i="1"/>
  <c r="L161" i="1"/>
  <c r="G161" i="1"/>
  <c r="C161" i="1"/>
  <c r="U160" i="1"/>
  <c r="T160" i="1"/>
  <c r="S160" i="1"/>
  <c r="R160" i="1"/>
  <c r="Q160" i="1"/>
  <c r="L160" i="1"/>
  <c r="G160" i="1"/>
  <c r="C160" i="1"/>
  <c r="U159" i="1"/>
  <c r="T159" i="1"/>
  <c r="S159" i="1"/>
  <c r="R159" i="1"/>
  <c r="Q159" i="1"/>
  <c r="L159" i="1"/>
  <c r="G159" i="1"/>
  <c r="C159" i="1"/>
  <c r="U158" i="1"/>
  <c r="T158" i="1"/>
  <c r="S158" i="1"/>
  <c r="R158" i="1"/>
  <c r="Q158" i="1"/>
  <c r="L158" i="1"/>
  <c r="G158" i="1"/>
  <c r="C158" i="1"/>
  <c r="U157" i="1"/>
  <c r="T157" i="1"/>
  <c r="S157" i="1"/>
  <c r="R157" i="1"/>
  <c r="Q157" i="1"/>
  <c r="L157" i="1"/>
  <c r="G157" i="1"/>
  <c r="C157" i="1"/>
  <c r="U156" i="1"/>
  <c r="T156" i="1"/>
  <c r="S156" i="1"/>
  <c r="R156" i="1"/>
  <c r="Q156" i="1"/>
  <c r="L156" i="1"/>
  <c r="G156" i="1"/>
  <c r="C156" i="1"/>
  <c r="U155" i="1"/>
  <c r="T155" i="1"/>
  <c r="S155" i="1"/>
  <c r="R155" i="1"/>
  <c r="Q155" i="1"/>
  <c r="L155" i="1"/>
  <c r="G155" i="1"/>
  <c r="C155" i="1"/>
  <c r="U154" i="1"/>
  <c r="T154" i="1"/>
  <c r="S154" i="1"/>
  <c r="R154" i="1"/>
  <c r="Q154" i="1"/>
  <c r="L154" i="1"/>
  <c r="G154" i="1"/>
  <c r="C154" i="1"/>
  <c r="U153" i="1"/>
  <c r="T153" i="1"/>
  <c r="S153" i="1"/>
  <c r="R153" i="1"/>
  <c r="Q153" i="1"/>
  <c r="L153" i="1"/>
  <c r="G153" i="1"/>
  <c r="C153" i="1"/>
  <c r="U152" i="1"/>
  <c r="T152" i="1"/>
  <c r="S152" i="1"/>
  <c r="R152" i="1"/>
  <c r="Q152" i="1"/>
  <c r="L152" i="1"/>
  <c r="G152" i="1"/>
  <c r="C152" i="1"/>
  <c r="U151" i="1"/>
  <c r="T151" i="1"/>
  <c r="S151" i="1"/>
  <c r="R151" i="1"/>
  <c r="Q151" i="1"/>
  <c r="L151" i="1"/>
  <c r="G151" i="1"/>
  <c r="C151" i="1"/>
  <c r="U150" i="1"/>
  <c r="T150" i="1"/>
  <c r="S150" i="1"/>
  <c r="R150" i="1"/>
  <c r="Q150" i="1"/>
  <c r="L150" i="1"/>
  <c r="G150" i="1"/>
  <c r="C150" i="1"/>
  <c r="U149" i="1"/>
  <c r="T149" i="1"/>
  <c r="S149" i="1"/>
  <c r="R149" i="1"/>
  <c r="Q149" i="1"/>
  <c r="L149" i="1"/>
  <c r="G149" i="1"/>
  <c r="C149" i="1"/>
  <c r="U148" i="1"/>
  <c r="T148" i="1"/>
  <c r="S148" i="1"/>
  <c r="R148" i="1"/>
  <c r="Q148" i="1"/>
  <c r="L148" i="1"/>
  <c r="G148" i="1"/>
  <c r="C148" i="1"/>
  <c r="U147" i="1"/>
  <c r="T147" i="1"/>
  <c r="S147" i="1"/>
  <c r="R147" i="1"/>
  <c r="Q147" i="1"/>
  <c r="L147" i="1"/>
  <c r="G147" i="1"/>
  <c r="C147" i="1"/>
  <c r="U146" i="1"/>
  <c r="T146" i="1"/>
  <c r="S146" i="1"/>
  <c r="R146" i="1"/>
  <c r="Q146" i="1"/>
  <c r="L146" i="1"/>
  <c r="G146" i="1"/>
  <c r="C146" i="1"/>
  <c r="U145" i="1"/>
  <c r="T145" i="1"/>
  <c r="S145" i="1"/>
  <c r="R145" i="1"/>
  <c r="Q145" i="1"/>
  <c r="L145" i="1"/>
  <c r="G145" i="1"/>
  <c r="C145" i="1"/>
  <c r="W144" i="1"/>
  <c r="V144" i="1"/>
  <c r="U144" i="1"/>
  <c r="T144" i="1"/>
  <c r="S144" i="1"/>
  <c r="R144" i="1"/>
  <c r="Q144" i="1"/>
  <c r="L144" i="1"/>
  <c r="G144" i="1"/>
  <c r="C144" i="1"/>
  <c r="U143" i="1"/>
  <c r="T143" i="1"/>
  <c r="S143" i="1"/>
  <c r="R143" i="1"/>
  <c r="Q143" i="1"/>
  <c r="L143" i="1"/>
  <c r="G143" i="1"/>
  <c r="C143" i="1"/>
  <c r="W142" i="1"/>
  <c r="V142" i="1"/>
  <c r="U142" i="1"/>
  <c r="T142" i="1"/>
  <c r="S142" i="1"/>
  <c r="R142" i="1"/>
  <c r="Q142" i="1"/>
  <c r="L142" i="1"/>
  <c r="G142" i="1"/>
  <c r="C142" i="1"/>
  <c r="U141" i="1"/>
  <c r="T141" i="1"/>
  <c r="S141" i="1"/>
  <c r="R141" i="1"/>
  <c r="Q141" i="1"/>
  <c r="L141" i="1"/>
  <c r="G141" i="1"/>
  <c r="C141" i="1"/>
  <c r="U140" i="1"/>
  <c r="T140" i="1"/>
  <c r="S140" i="1"/>
  <c r="R140" i="1"/>
  <c r="Q140" i="1"/>
  <c r="L140" i="1"/>
  <c r="G140" i="1"/>
  <c r="C140" i="1"/>
  <c r="U139" i="1"/>
  <c r="T139" i="1"/>
  <c r="S139" i="1"/>
  <c r="R139" i="1"/>
  <c r="Q139" i="1"/>
  <c r="L139" i="1"/>
  <c r="G139" i="1"/>
  <c r="C139" i="1"/>
  <c r="U138" i="1"/>
  <c r="T138" i="1"/>
  <c r="S138" i="1"/>
  <c r="R138" i="1"/>
  <c r="Q138" i="1"/>
  <c r="L138" i="1"/>
  <c r="G138" i="1"/>
  <c r="C138" i="1"/>
  <c r="U137" i="1"/>
  <c r="T137" i="1"/>
  <c r="S137" i="1"/>
  <c r="R137" i="1"/>
  <c r="Q137" i="1"/>
  <c r="L137" i="1"/>
  <c r="G137" i="1"/>
  <c r="C137" i="1"/>
  <c r="U136" i="1"/>
  <c r="T136" i="1"/>
  <c r="S136" i="1"/>
  <c r="R136" i="1"/>
  <c r="Q136" i="1"/>
  <c r="L136" i="1"/>
  <c r="G136" i="1"/>
  <c r="C136" i="1"/>
  <c r="W135" i="1"/>
  <c r="V135" i="1"/>
  <c r="U135" i="1"/>
  <c r="T135" i="1"/>
  <c r="S135" i="1"/>
  <c r="R135" i="1"/>
  <c r="Q135" i="1"/>
  <c r="L135" i="1"/>
  <c r="G135" i="1"/>
  <c r="C135" i="1"/>
  <c r="U134" i="1"/>
  <c r="T134" i="1"/>
  <c r="S134" i="1"/>
  <c r="R134" i="1"/>
  <c r="Q134" i="1"/>
  <c r="L134" i="1"/>
  <c r="G134" i="1"/>
  <c r="C134" i="1"/>
  <c r="W133" i="1"/>
  <c r="V133" i="1"/>
  <c r="U133" i="1"/>
  <c r="T133" i="1"/>
  <c r="S133" i="1"/>
  <c r="R133" i="1"/>
  <c r="Q133" i="1"/>
  <c r="L133" i="1"/>
  <c r="G133" i="1"/>
  <c r="C133" i="1"/>
  <c r="U132" i="1"/>
  <c r="T132" i="1"/>
  <c r="S132" i="1"/>
  <c r="R132" i="1"/>
  <c r="Q132" i="1"/>
  <c r="L132" i="1"/>
  <c r="G132" i="1"/>
  <c r="C132" i="1"/>
  <c r="U131" i="1"/>
  <c r="T131" i="1"/>
  <c r="S131" i="1"/>
  <c r="R131" i="1"/>
  <c r="Q131" i="1"/>
  <c r="L131" i="1"/>
  <c r="G131" i="1"/>
  <c r="C131" i="1"/>
  <c r="U130" i="1"/>
  <c r="T130" i="1"/>
  <c r="S130" i="1"/>
  <c r="R130" i="1"/>
  <c r="Q130" i="1"/>
  <c r="L130" i="1"/>
  <c r="G130" i="1"/>
  <c r="C130" i="1"/>
  <c r="U129" i="1"/>
  <c r="T129" i="1"/>
  <c r="S129" i="1"/>
  <c r="R129" i="1"/>
  <c r="Q129" i="1"/>
  <c r="L129" i="1"/>
  <c r="G129" i="1"/>
  <c r="C129" i="1"/>
  <c r="U128" i="1"/>
  <c r="T128" i="1"/>
  <c r="S128" i="1"/>
  <c r="R128" i="1"/>
  <c r="Q128" i="1"/>
  <c r="L128" i="1"/>
  <c r="G128" i="1"/>
  <c r="C128" i="1"/>
  <c r="U127" i="1"/>
  <c r="T127" i="1"/>
  <c r="S127" i="1"/>
  <c r="R127" i="1"/>
  <c r="Q127" i="1"/>
  <c r="L127" i="1"/>
  <c r="G127" i="1"/>
  <c r="C127" i="1"/>
  <c r="U126" i="1"/>
  <c r="T126" i="1"/>
  <c r="S126" i="1"/>
  <c r="R126" i="1"/>
  <c r="Q126" i="1"/>
  <c r="L126" i="1"/>
  <c r="G126" i="1"/>
  <c r="C126" i="1"/>
  <c r="U125" i="1"/>
  <c r="T125" i="1"/>
  <c r="S125" i="1"/>
  <c r="R125" i="1"/>
  <c r="Q125" i="1"/>
  <c r="L125" i="1"/>
  <c r="G125" i="1"/>
  <c r="C125" i="1"/>
  <c r="W124" i="1"/>
  <c r="V124" i="1"/>
  <c r="U124" i="1"/>
  <c r="T124" i="1"/>
  <c r="S124" i="1"/>
  <c r="R124" i="1"/>
  <c r="Q124" i="1"/>
  <c r="L124" i="1"/>
  <c r="G124" i="1"/>
  <c r="C124" i="1"/>
  <c r="U123" i="1"/>
  <c r="T123" i="1"/>
  <c r="S123" i="1"/>
  <c r="R123" i="1"/>
  <c r="Q123" i="1"/>
  <c r="L123" i="1"/>
  <c r="G123" i="1"/>
  <c r="C123" i="1"/>
  <c r="W122" i="1"/>
  <c r="V122" i="1"/>
  <c r="U122" i="1"/>
  <c r="T122" i="1"/>
  <c r="S122" i="1"/>
  <c r="R122" i="1"/>
  <c r="Q122" i="1"/>
  <c r="L122" i="1"/>
  <c r="G122" i="1"/>
  <c r="C122" i="1"/>
  <c r="U121" i="1"/>
  <c r="T121" i="1"/>
  <c r="S121" i="1"/>
  <c r="R121" i="1"/>
  <c r="Q121" i="1"/>
  <c r="L121" i="1"/>
  <c r="G121" i="1"/>
  <c r="C121" i="1"/>
  <c r="U120" i="1"/>
  <c r="T120" i="1"/>
  <c r="S120" i="1"/>
  <c r="R120" i="1"/>
  <c r="Q120" i="1"/>
  <c r="L120" i="1"/>
  <c r="G120" i="1"/>
  <c r="C120" i="1"/>
  <c r="U119" i="1"/>
  <c r="T119" i="1"/>
  <c r="S119" i="1"/>
  <c r="R119" i="1"/>
  <c r="Q119" i="1"/>
  <c r="L119" i="1"/>
  <c r="G119" i="1"/>
  <c r="C119" i="1"/>
  <c r="U118" i="1"/>
  <c r="T118" i="1"/>
  <c r="S118" i="1"/>
  <c r="R118" i="1"/>
  <c r="Q118" i="1"/>
  <c r="L118" i="1"/>
  <c r="G118" i="1"/>
  <c r="C118" i="1"/>
  <c r="U117" i="1"/>
  <c r="T117" i="1"/>
  <c r="S117" i="1"/>
  <c r="R117" i="1"/>
  <c r="Q117" i="1"/>
  <c r="L117" i="1"/>
  <c r="G117" i="1"/>
  <c r="C117" i="1"/>
  <c r="U116" i="1"/>
  <c r="T116" i="1"/>
  <c r="S116" i="1"/>
  <c r="R116" i="1"/>
  <c r="Q116" i="1"/>
  <c r="L116" i="1"/>
  <c r="G116" i="1"/>
  <c r="C116" i="1"/>
  <c r="U115" i="1"/>
  <c r="T115" i="1"/>
  <c r="S115" i="1"/>
  <c r="R115" i="1"/>
  <c r="Q115" i="1"/>
  <c r="L115" i="1"/>
  <c r="G115" i="1"/>
  <c r="C115" i="1"/>
  <c r="U114" i="1"/>
  <c r="T114" i="1"/>
  <c r="S114" i="1"/>
  <c r="R114" i="1"/>
  <c r="Q114" i="1"/>
  <c r="L114" i="1"/>
  <c r="G114" i="1"/>
  <c r="C114" i="1"/>
  <c r="U113" i="1"/>
  <c r="T113" i="1"/>
  <c r="S113" i="1"/>
  <c r="R113" i="1"/>
  <c r="Q113" i="1"/>
  <c r="L113" i="1"/>
  <c r="G113" i="1"/>
  <c r="C113" i="1"/>
  <c r="U112" i="1"/>
  <c r="T112" i="1"/>
  <c r="S112" i="1"/>
  <c r="R112" i="1"/>
  <c r="Q112" i="1"/>
  <c r="L112" i="1"/>
  <c r="G112" i="1"/>
  <c r="C112" i="1"/>
  <c r="U111" i="1"/>
  <c r="T111" i="1"/>
  <c r="S111" i="1"/>
  <c r="R111" i="1"/>
  <c r="Q111" i="1"/>
  <c r="L111" i="1"/>
  <c r="G111" i="1"/>
  <c r="C111" i="1"/>
  <c r="U110" i="1"/>
  <c r="T110" i="1"/>
  <c r="S110" i="1"/>
  <c r="R110" i="1"/>
  <c r="Q110" i="1"/>
  <c r="L110" i="1"/>
  <c r="G110" i="1"/>
  <c r="C110" i="1"/>
  <c r="U109" i="1"/>
  <c r="T109" i="1"/>
  <c r="S109" i="1"/>
  <c r="R109" i="1"/>
  <c r="Q109" i="1"/>
  <c r="L109" i="1"/>
  <c r="G109" i="1"/>
  <c r="C109" i="1"/>
  <c r="W108" i="1"/>
  <c r="V108" i="1"/>
  <c r="U108" i="1"/>
  <c r="T108" i="1"/>
  <c r="S108" i="1"/>
  <c r="R108" i="1"/>
  <c r="Q108" i="1"/>
  <c r="L108" i="1"/>
  <c r="G108" i="1"/>
  <c r="C108" i="1"/>
  <c r="U107" i="1"/>
  <c r="T107" i="1"/>
  <c r="S107" i="1"/>
  <c r="R107" i="1"/>
  <c r="Q107" i="1"/>
  <c r="L107" i="1"/>
  <c r="G107" i="1"/>
  <c r="C107" i="1"/>
  <c r="U106" i="1"/>
  <c r="T106" i="1"/>
  <c r="S106" i="1"/>
  <c r="R106" i="1"/>
  <c r="Q106" i="1"/>
  <c r="L106" i="1"/>
  <c r="G106" i="1"/>
  <c r="C106" i="1"/>
  <c r="U105" i="1"/>
  <c r="T105" i="1"/>
  <c r="S105" i="1"/>
  <c r="R105" i="1"/>
  <c r="Q105" i="1"/>
  <c r="L105" i="1"/>
  <c r="G105" i="1"/>
  <c r="C105" i="1"/>
  <c r="U104" i="1"/>
  <c r="T104" i="1"/>
  <c r="S104" i="1"/>
  <c r="R104" i="1"/>
  <c r="Q104" i="1"/>
  <c r="L104" i="1"/>
  <c r="G104" i="1"/>
  <c r="C104" i="1"/>
  <c r="U103" i="1"/>
  <c r="T103" i="1"/>
  <c r="S103" i="1"/>
  <c r="R103" i="1"/>
  <c r="Q103" i="1"/>
  <c r="L103" i="1"/>
  <c r="G103" i="1"/>
  <c r="C103" i="1"/>
  <c r="U102" i="1"/>
  <c r="T102" i="1"/>
  <c r="S102" i="1"/>
  <c r="R102" i="1"/>
  <c r="Q102" i="1"/>
  <c r="L102" i="1"/>
  <c r="G102" i="1"/>
  <c r="C102" i="1"/>
  <c r="W101" i="1"/>
  <c r="V101" i="1"/>
  <c r="U101" i="1"/>
  <c r="T101" i="1"/>
  <c r="S101" i="1"/>
  <c r="R101" i="1"/>
  <c r="Q101" i="1"/>
  <c r="L101" i="1"/>
  <c r="G101" i="1"/>
  <c r="C101" i="1"/>
  <c r="U100" i="1"/>
  <c r="T100" i="1"/>
  <c r="S100" i="1"/>
  <c r="R100" i="1"/>
  <c r="Q100" i="1"/>
  <c r="L100" i="1"/>
  <c r="G100" i="1"/>
  <c r="C100" i="1"/>
  <c r="W99" i="1"/>
  <c r="V99" i="1"/>
  <c r="U99" i="1"/>
  <c r="T99" i="1"/>
  <c r="S99" i="1"/>
  <c r="R99" i="1"/>
  <c r="Q99" i="1"/>
  <c r="L99" i="1"/>
  <c r="G99" i="1"/>
  <c r="C99" i="1"/>
  <c r="U98" i="1"/>
  <c r="T98" i="1"/>
  <c r="S98" i="1"/>
  <c r="R98" i="1"/>
  <c r="Q98" i="1"/>
  <c r="L98" i="1"/>
  <c r="G98" i="1"/>
  <c r="C98" i="1"/>
  <c r="U97" i="1"/>
  <c r="T97" i="1"/>
  <c r="S97" i="1"/>
  <c r="R97" i="1"/>
  <c r="Q97" i="1"/>
  <c r="L97" i="1"/>
  <c r="G97" i="1"/>
  <c r="C97" i="1"/>
  <c r="U96" i="1"/>
  <c r="T96" i="1"/>
  <c r="S96" i="1"/>
  <c r="R96" i="1"/>
  <c r="Q96" i="1"/>
  <c r="L96" i="1"/>
  <c r="G96" i="1"/>
  <c r="C96" i="1"/>
  <c r="U95" i="1"/>
  <c r="T95" i="1"/>
  <c r="S95" i="1"/>
  <c r="R95" i="1"/>
  <c r="Q95" i="1"/>
  <c r="L95" i="1"/>
  <c r="G95" i="1"/>
  <c r="C95" i="1"/>
  <c r="U94" i="1"/>
  <c r="T94" i="1"/>
  <c r="S94" i="1"/>
  <c r="R94" i="1"/>
  <c r="Q94" i="1"/>
  <c r="L94" i="1"/>
  <c r="G94" i="1"/>
  <c r="C94" i="1"/>
  <c r="U93" i="1"/>
  <c r="T93" i="1"/>
  <c r="S93" i="1"/>
  <c r="R93" i="1"/>
  <c r="Q93" i="1"/>
  <c r="L93" i="1"/>
  <c r="G93" i="1"/>
  <c r="C93" i="1"/>
  <c r="U92" i="1"/>
  <c r="T92" i="1"/>
  <c r="S92" i="1"/>
  <c r="R92" i="1"/>
  <c r="Q92" i="1"/>
  <c r="L92" i="1"/>
  <c r="G92" i="1"/>
  <c r="C92" i="1"/>
  <c r="U91" i="1"/>
  <c r="T91" i="1"/>
  <c r="S91" i="1"/>
  <c r="R91" i="1"/>
  <c r="Q91" i="1"/>
  <c r="L91" i="1"/>
  <c r="G91" i="1"/>
  <c r="C91" i="1"/>
  <c r="U90" i="1"/>
  <c r="T90" i="1"/>
  <c r="S90" i="1"/>
  <c r="R90" i="1"/>
  <c r="Q90" i="1"/>
  <c r="L90" i="1"/>
  <c r="G90" i="1"/>
  <c r="C90" i="1"/>
  <c r="U89" i="1"/>
  <c r="T89" i="1"/>
  <c r="S89" i="1"/>
  <c r="R89" i="1"/>
  <c r="Q89" i="1"/>
  <c r="L89" i="1"/>
  <c r="G89" i="1"/>
  <c r="C89" i="1"/>
  <c r="U88" i="1"/>
  <c r="T88" i="1"/>
  <c r="S88" i="1"/>
  <c r="R88" i="1"/>
  <c r="Q88" i="1"/>
  <c r="L88" i="1"/>
  <c r="G88" i="1"/>
  <c r="C88" i="1"/>
  <c r="U87" i="1"/>
  <c r="T87" i="1"/>
  <c r="S87" i="1"/>
  <c r="R87" i="1"/>
  <c r="Q87" i="1"/>
  <c r="L87" i="1"/>
  <c r="G87" i="1"/>
  <c r="C87" i="1"/>
  <c r="U86" i="1"/>
  <c r="T86" i="1"/>
  <c r="S86" i="1"/>
  <c r="R86" i="1"/>
  <c r="Q86" i="1"/>
  <c r="L86" i="1"/>
  <c r="G86" i="1"/>
  <c r="C86" i="1"/>
  <c r="U85" i="1"/>
  <c r="T85" i="1"/>
  <c r="S85" i="1"/>
  <c r="R85" i="1"/>
  <c r="Q85" i="1"/>
  <c r="L85" i="1"/>
  <c r="G85" i="1"/>
  <c r="C85" i="1"/>
  <c r="U84" i="1"/>
  <c r="T84" i="1"/>
  <c r="S84" i="1"/>
  <c r="R84" i="1"/>
  <c r="Q84" i="1"/>
  <c r="L84" i="1"/>
  <c r="G84" i="1"/>
  <c r="C84" i="1"/>
  <c r="U83" i="1"/>
  <c r="T83" i="1"/>
  <c r="S83" i="1"/>
  <c r="R83" i="1"/>
  <c r="Q83" i="1"/>
  <c r="L83" i="1"/>
  <c r="G83" i="1"/>
  <c r="C83" i="1"/>
  <c r="W82" i="1"/>
  <c r="V82" i="1"/>
  <c r="U82" i="1"/>
  <c r="T82" i="1"/>
  <c r="S82" i="1"/>
  <c r="R82" i="1"/>
  <c r="Q82" i="1"/>
  <c r="L82" i="1"/>
  <c r="G82" i="1"/>
  <c r="C82" i="1"/>
  <c r="U81" i="1"/>
  <c r="T81" i="1"/>
  <c r="S81" i="1"/>
  <c r="R81" i="1"/>
  <c r="Q81" i="1"/>
  <c r="L81" i="1"/>
  <c r="G81" i="1"/>
  <c r="C81" i="1"/>
  <c r="W80" i="1"/>
  <c r="V80" i="1"/>
  <c r="U80" i="1"/>
  <c r="T80" i="1"/>
  <c r="S80" i="1"/>
  <c r="R80" i="1"/>
  <c r="Q80" i="1"/>
  <c r="L80" i="1"/>
  <c r="G80" i="1"/>
  <c r="C80" i="1"/>
  <c r="U79" i="1"/>
  <c r="T79" i="1"/>
  <c r="S79" i="1"/>
  <c r="R79" i="1"/>
  <c r="Q79" i="1"/>
  <c r="L79" i="1"/>
  <c r="G79" i="1"/>
  <c r="C79" i="1"/>
  <c r="U78" i="1"/>
  <c r="T78" i="1"/>
  <c r="S78" i="1"/>
  <c r="R78" i="1"/>
  <c r="Q78" i="1"/>
  <c r="L78" i="1"/>
  <c r="G78" i="1"/>
  <c r="C78" i="1"/>
  <c r="U77" i="1"/>
  <c r="T77" i="1"/>
  <c r="S77" i="1"/>
  <c r="R77" i="1"/>
  <c r="Q77" i="1"/>
  <c r="L77" i="1"/>
  <c r="G77" i="1"/>
  <c r="C77" i="1"/>
  <c r="W76" i="1"/>
  <c r="V76" i="1"/>
  <c r="U76" i="1"/>
  <c r="T76" i="1"/>
  <c r="S76" i="1"/>
  <c r="R76" i="1"/>
  <c r="Q76" i="1"/>
  <c r="L76" i="1"/>
  <c r="G76" i="1"/>
  <c r="C76" i="1"/>
  <c r="U75" i="1"/>
  <c r="T75" i="1"/>
  <c r="S75" i="1"/>
  <c r="R75" i="1"/>
  <c r="Q75" i="1"/>
  <c r="L75" i="1"/>
  <c r="G75" i="1"/>
  <c r="C75" i="1"/>
  <c r="U74" i="1"/>
  <c r="T74" i="1"/>
  <c r="S74" i="1"/>
  <c r="R74" i="1"/>
  <c r="Q74" i="1"/>
  <c r="L74" i="1"/>
  <c r="G74" i="1"/>
  <c r="C74" i="1"/>
  <c r="U73" i="1"/>
  <c r="T73" i="1"/>
  <c r="S73" i="1"/>
  <c r="R73" i="1"/>
  <c r="Q73" i="1"/>
  <c r="L73" i="1"/>
  <c r="G73" i="1"/>
  <c r="C73" i="1"/>
  <c r="U72" i="1"/>
  <c r="T72" i="1"/>
  <c r="S72" i="1"/>
  <c r="R72" i="1"/>
  <c r="Q72" i="1"/>
  <c r="L72" i="1"/>
  <c r="G72" i="1"/>
  <c r="C72" i="1"/>
  <c r="U71" i="1"/>
  <c r="T71" i="1"/>
  <c r="S71" i="1"/>
  <c r="R71" i="1"/>
  <c r="Q71" i="1"/>
  <c r="L71" i="1"/>
  <c r="G71" i="1"/>
  <c r="C71" i="1"/>
  <c r="U70" i="1"/>
  <c r="T70" i="1"/>
  <c r="S70" i="1"/>
  <c r="R70" i="1"/>
  <c r="Q70" i="1"/>
  <c r="L70" i="1"/>
  <c r="G70" i="1"/>
  <c r="C70" i="1"/>
  <c r="U69" i="1"/>
  <c r="T69" i="1"/>
  <c r="S69" i="1"/>
  <c r="R69" i="1"/>
  <c r="Q69" i="1"/>
  <c r="L69" i="1"/>
  <c r="G69" i="1"/>
  <c r="C69" i="1"/>
  <c r="U68" i="1"/>
  <c r="T68" i="1"/>
  <c r="S68" i="1"/>
  <c r="R68" i="1"/>
  <c r="Q68" i="1"/>
  <c r="L68" i="1"/>
  <c r="G68" i="1"/>
  <c r="C68" i="1"/>
  <c r="U67" i="1"/>
  <c r="T67" i="1"/>
  <c r="S67" i="1"/>
  <c r="R67" i="1"/>
  <c r="Q67" i="1"/>
  <c r="L67" i="1"/>
  <c r="G67" i="1"/>
  <c r="C67" i="1"/>
  <c r="U66" i="1"/>
  <c r="T66" i="1"/>
  <c r="S66" i="1"/>
  <c r="R66" i="1"/>
  <c r="Q66" i="1"/>
  <c r="L66" i="1"/>
  <c r="G66" i="1"/>
  <c r="C66" i="1"/>
  <c r="U65" i="1"/>
  <c r="T65" i="1"/>
  <c r="S65" i="1"/>
  <c r="R65" i="1"/>
  <c r="Q65" i="1"/>
  <c r="L65" i="1"/>
  <c r="G65" i="1"/>
  <c r="C65" i="1"/>
  <c r="U64" i="1"/>
  <c r="T64" i="1"/>
  <c r="S64" i="1"/>
  <c r="R64" i="1"/>
  <c r="Q64" i="1"/>
  <c r="L64" i="1"/>
  <c r="G64" i="1"/>
  <c r="C64" i="1"/>
  <c r="U63" i="1"/>
  <c r="T63" i="1"/>
  <c r="S63" i="1"/>
  <c r="R63" i="1"/>
  <c r="Q63" i="1"/>
  <c r="L63" i="1"/>
  <c r="G63" i="1"/>
  <c r="C63" i="1"/>
  <c r="U62" i="1"/>
  <c r="T62" i="1"/>
  <c r="S62" i="1"/>
  <c r="R62" i="1"/>
  <c r="Q62" i="1"/>
  <c r="L62" i="1"/>
  <c r="G62" i="1"/>
  <c r="C62" i="1"/>
  <c r="U61" i="1"/>
  <c r="T61" i="1"/>
  <c r="S61" i="1"/>
  <c r="R61" i="1"/>
  <c r="Q61" i="1"/>
  <c r="L61" i="1"/>
  <c r="G61" i="1"/>
  <c r="C61" i="1"/>
  <c r="U60" i="1"/>
  <c r="T60" i="1"/>
  <c r="S60" i="1"/>
  <c r="R60" i="1"/>
  <c r="Q60" i="1"/>
  <c r="L60" i="1"/>
  <c r="G60" i="1"/>
  <c r="C60" i="1"/>
  <c r="U59" i="1"/>
  <c r="T59" i="1"/>
  <c r="S59" i="1"/>
  <c r="R59" i="1"/>
  <c r="Q59" i="1"/>
  <c r="L59" i="1"/>
  <c r="G59" i="1"/>
  <c r="C59" i="1"/>
  <c r="U58" i="1"/>
  <c r="T58" i="1"/>
  <c r="S58" i="1"/>
  <c r="R58" i="1"/>
  <c r="Q58" i="1"/>
  <c r="L58" i="1"/>
  <c r="G58" i="1"/>
  <c r="C58" i="1"/>
  <c r="U57" i="1"/>
  <c r="T57" i="1"/>
  <c r="S57" i="1"/>
  <c r="R57" i="1"/>
  <c r="Q57" i="1"/>
  <c r="L57" i="1"/>
  <c r="G57" i="1"/>
  <c r="C57" i="1"/>
  <c r="U56" i="1"/>
  <c r="T56" i="1"/>
  <c r="S56" i="1"/>
  <c r="R56" i="1"/>
  <c r="Q56" i="1"/>
  <c r="L56" i="1"/>
  <c r="G56" i="1"/>
  <c r="C56" i="1"/>
  <c r="U55" i="1"/>
  <c r="T55" i="1"/>
  <c r="S55" i="1"/>
  <c r="R55" i="1"/>
  <c r="Q55" i="1"/>
  <c r="L55" i="1"/>
  <c r="G55" i="1"/>
  <c r="C55" i="1"/>
  <c r="U54" i="1"/>
  <c r="T54" i="1"/>
  <c r="S54" i="1"/>
  <c r="R54" i="1"/>
  <c r="Q54" i="1"/>
  <c r="L54" i="1"/>
  <c r="G54" i="1"/>
  <c r="C54" i="1"/>
  <c r="U53" i="1"/>
  <c r="T53" i="1"/>
  <c r="S53" i="1"/>
  <c r="R53" i="1"/>
  <c r="Q53" i="1"/>
  <c r="L53" i="1"/>
  <c r="G53" i="1"/>
  <c r="C53" i="1"/>
  <c r="U52" i="1"/>
  <c r="T52" i="1"/>
  <c r="S52" i="1"/>
  <c r="R52" i="1"/>
  <c r="Q52" i="1"/>
  <c r="L52" i="1"/>
  <c r="G52" i="1"/>
  <c r="C52" i="1"/>
  <c r="U51" i="1"/>
  <c r="T51" i="1"/>
  <c r="S51" i="1"/>
  <c r="R51" i="1"/>
  <c r="Q51" i="1"/>
  <c r="L51" i="1"/>
  <c r="G51" i="1"/>
  <c r="C51" i="1"/>
  <c r="U50" i="1"/>
  <c r="T50" i="1"/>
  <c r="S50" i="1"/>
  <c r="R50" i="1"/>
  <c r="Q50" i="1"/>
  <c r="L50" i="1"/>
  <c r="G50" i="1"/>
  <c r="C50" i="1"/>
  <c r="U49" i="1"/>
  <c r="T49" i="1"/>
  <c r="S49" i="1"/>
  <c r="R49" i="1"/>
  <c r="Q49" i="1"/>
  <c r="L49" i="1"/>
  <c r="G49" i="1"/>
  <c r="C49" i="1"/>
  <c r="U48" i="1"/>
  <c r="T48" i="1"/>
  <c r="S48" i="1"/>
  <c r="R48" i="1"/>
  <c r="Q48" i="1"/>
  <c r="L48" i="1"/>
  <c r="G48" i="1"/>
  <c r="C48" i="1"/>
  <c r="U47" i="1"/>
  <c r="T47" i="1"/>
  <c r="S47" i="1"/>
  <c r="R47" i="1"/>
  <c r="Q47" i="1"/>
  <c r="L47" i="1"/>
  <c r="G47" i="1"/>
  <c r="C47" i="1"/>
  <c r="U46" i="1"/>
  <c r="T46" i="1"/>
  <c r="S46" i="1"/>
  <c r="R46" i="1"/>
  <c r="Q46" i="1"/>
  <c r="L46" i="1"/>
  <c r="G46" i="1"/>
  <c r="C46" i="1"/>
  <c r="U45" i="1"/>
  <c r="T45" i="1"/>
  <c r="S45" i="1"/>
  <c r="R45" i="1"/>
  <c r="Q45" i="1"/>
  <c r="L45" i="1"/>
  <c r="G45" i="1"/>
  <c r="C45" i="1"/>
  <c r="U44" i="1"/>
  <c r="T44" i="1"/>
  <c r="S44" i="1"/>
  <c r="R44" i="1"/>
  <c r="Q44" i="1"/>
  <c r="L44" i="1"/>
  <c r="G44" i="1"/>
  <c r="C44" i="1"/>
  <c r="U43" i="1"/>
  <c r="T43" i="1"/>
  <c r="S43" i="1"/>
  <c r="R43" i="1"/>
  <c r="Q43" i="1"/>
  <c r="L43" i="1"/>
  <c r="G43" i="1"/>
  <c r="C43" i="1"/>
  <c r="U42" i="1"/>
  <c r="T42" i="1"/>
  <c r="S42" i="1"/>
  <c r="R42" i="1"/>
  <c r="Q42" i="1"/>
  <c r="L42" i="1"/>
  <c r="G42" i="1"/>
  <c r="C42" i="1"/>
  <c r="U41" i="1"/>
  <c r="T41" i="1"/>
  <c r="S41" i="1"/>
  <c r="R41" i="1"/>
  <c r="Q41" i="1"/>
  <c r="L41" i="1"/>
  <c r="G41" i="1"/>
  <c r="C41" i="1"/>
  <c r="U40" i="1"/>
  <c r="T40" i="1"/>
  <c r="S40" i="1"/>
  <c r="R40" i="1"/>
  <c r="Q40" i="1"/>
  <c r="L40" i="1"/>
  <c r="G40" i="1"/>
  <c r="C40" i="1"/>
  <c r="U39" i="1"/>
  <c r="T39" i="1"/>
  <c r="S39" i="1"/>
  <c r="R39" i="1"/>
  <c r="Q39" i="1"/>
  <c r="L39" i="1"/>
  <c r="G39" i="1"/>
  <c r="C39" i="1"/>
  <c r="U38" i="1"/>
  <c r="T38" i="1"/>
  <c r="S38" i="1"/>
  <c r="R38" i="1"/>
  <c r="Q38" i="1"/>
  <c r="L38" i="1"/>
  <c r="G38" i="1"/>
  <c r="C38" i="1"/>
  <c r="U37" i="1"/>
  <c r="T37" i="1"/>
  <c r="S37" i="1"/>
  <c r="R37" i="1"/>
  <c r="Q37" i="1"/>
  <c r="L37" i="1"/>
  <c r="G37" i="1"/>
  <c r="C37" i="1"/>
  <c r="U36" i="1"/>
  <c r="T36" i="1"/>
  <c r="S36" i="1"/>
  <c r="R36" i="1"/>
  <c r="Q36" i="1"/>
  <c r="L36" i="1"/>
  <c r="G36" i="1"/>
  <c r="C36" i="1"/>
  <c r="U35" i="1"/>
  <c r="T35" i="1"/>
  <c r="S35" i="1"/>
  <c r="R35" i="1"/>
  <c r="Q35" i="1"/>
  <c r="L35" i="1"/>
  <c r="G35" i="1"/>
  <c r="C35" i="1"/>
  <c r="U34" i="1"/>
  <c r="T34" i="1"/>
  <c r="S34" i="1"/>
  <c r="R34" i="1"/>
  <c r="Q34" i="1"/>
  <c r="L34" i="1"/>
  <c r="G34" i="1"/>
  <c r="C34" i="1"/>
  <c r="U33" i="1"/>
  <c r="T33" i="1"/>
  <c r="S33" i="1"/>
  <c r="R33" i="1"/>
  <c r="Q33" i="1"/>
  <c r="L33" i="1"/>
  <c r="G33" i="1"/>
  <c r="C33" i="1"/>
  <c r="U32" i="1"/>
  <c r="T32" i="1"/>
  <c r="S32" i="1"/>
  <c r="R32" i="1"/>
  <c r="Q32" i="1"/>
  <c r="L32" i="1"/>
  <c r="G32" i="1"/>
  <c r="C32" i="1"/>
  <c r="U31" i="1"/>
  <c r="T31" i="1"/>
  <c r="S31" i="1"/>
  <c r="R31" i="1"/>
  <c r="Q31" i="1"/>
  <c r="L31" i="1"/>
  <c r="G31" i="1"/>
  <c r="C31" i="1"/>
  <c r="U30" i="1"/>
  <c r="T30" i="1"/>
  <c r="S30" i="1"/>
  <c r="R30" i="1"/>
  <c r="Q30" i="1"/>
  <c r="L30" i="1"/>
  <c r="G30" i="1"/>
  <c r="C30" i="1"/>
  <c r="U29" i="1"/>
  <c r="T29" i="1"/>
  <c r="S29" i="1"/>
  <c r="R29" i="1"/>
  <c r="Q29" i="1"/>
  <c r="L29" i="1"/>
  <c r="G29" i="1"/>
  <c r="C29" i="1"/>
  <c r="U28" i="1"/>
  <c r="T28" i="1"/>
  <c r="S28" i="1"/>
  <c r="R28" i="1"/>
  <c r="Q28" i="1"/>
  <c r="L28" i="1"/>
  <c r="G28" i="1"/>
  <c r="C28" i="1"/>
  <c r="U27" i="1"/>
  <c r="T27" i="1"/>
  <c r="S27" i="1"/>
  <c r="R27" i="1"/>
  <c r="Q27" i="1"/>
  <c r="L27" i="1"/>
  <c r="G27" i="1"/>
  <c r="C27" i="1"/>
  <c r="U26" i="1"/>
  <c r="T26" i="1"/>
  <c r="S26" i="1"/>
  <c r="R26" i="1"/>
  <c r="Q26" i="1"/>
  <c r="L26" i="1"/>
  <c r="G26" i="1"/>
  <c r="C26" i="1"/>
  <c r="U25" i="1"/>
  <c r="T25" i="1"/>
  <c r="S25" i="1"/>
  <c r="R25" i="1"/>
  <c r="Q25" i="1"/>
  <c r="L25" i="1"/>
  <c r="G25" i="1"/>
  <c r="C25" i="1"/>
  <c r="U24" i="1"/>
  <c r="T24" i="1"/>
  <c r="S24" i="1"/>
  <c r="R24" i="1"/>
  <c r="Q24" i="1"/>
  <c r="L24" i="1"/>
  <c r="G24" i="1"/>
  <c r="C24" i="1"/>
  <c r="U23" i="1"/>
  <c r="T23" i="1"/>
  <c r="S23" i="1"/>
  <c r="R23" i="1"/>
  <c r="Q23" i="1"/>
  <c r="L23" i="1"/>
  <c r="G23" i="1"/>
  <c r="C23" i="1"/>
  <c r="U22" i="1"/>
  <c r="T22" i="1"/>
  <c r="S22" i="1"/>
  <c r="R22" i="1"/>
  <c r="Q22" i="1"/>
  <c r="L22" i="1"/>
  <c r="G22" i="1"/>
  <c r="C22" i="1"/>
  <c r="U21" i="1"/>
  <c r="T21" i="1"/>
  <c r="S21" i="1"/>
  <c r="R21" i="1"/>
  <c r="Q21" i="1"/>
  <c r="L21" i="1"/>
  <c r="G21" i="1"/>
  <c r="C21" i="1"/>
  <c r="U20" i="1"/>
  <c r="T20" i="1"/>
  <c r="S20" i="1"/>
  <c r="R20" i="1"/>
  <c r="Q20" i="1"/>
  <c r="L20" i="1"/>
  <c r="G20" i="1"/>
  <c r="C20" i="1"/>
  <c r="U19" i="1"/>
  <c r="T19" i="1"/>
  <c r="S19" i="1"/>
  <c r="R19" i="1"/>
  <c r="Q19" i="1"/>
  <c r="L19" i="1"/>
  <c r="G19" i="1"/>
  <c r="C19" i="1"/>
  <c r="U18" i="1"/>
  <c r="T18" i="1"/>
  <c r="S18" i="1"/>
  <c r="R18" i="1"/>
  <c r="Q18" i="1"/>
  <c r="L18" i="1"/>
  <c r="G18" i="1"/>
  <c r="C18" i="1"/>
  <c r="U17" i="1"/>
  <c r="T17" i="1"/>
  <c r="S17" i="1"/>
  <c r="R17" i="1"/>
  <c r="Q17" i="1"/>
  <c r="L17" i="1"/>
  <c r="G17" i="1"/>
  <c r="C17" i="1"/>
  <c r="U16" i="1"/>
  <c r="T16" i="1"/>
  <c r="S16" i="1"/>
  <c r="R16" i="1"/>
  <c r="Q16" i="1"/>
  <c r="L16" i="1"/>
  <c r="G16" i="1"/>
  <c r="C16" i="1"/>
  <c r="U15" i="1"/>
  <c r="T15" i="1"/>
  <c r="S15" i="1"/>
  <c r="R15" i="1"/>
  <c r="Q15" i="1"/>
  <c r="L15" i="1"/>
  <c r="G15" i="1"/>
  <c r="C15" i="1"/>
  <c r="U14" i="1"/>
  <c r="T14" i="1"/>
  <c r="S14" i="1"/>
  <c r="R14" i="1"/>
  <c r="Q14" i="1"/>
  <c r="L14" i="1"/>
  <c r="G14" i="1"/>
  <c r="C14" i="1"/>
  <c r="U13" i="1"/>
  <c r="T13" i="1"/>
  <c r="S13" i="1"/>
  <c r="R13" i="1"/>
  <c r="Q13" i="1"/>
  <c r="L13" i="1"/>
  <c r="G13" i="1"/>
  <c r="C13" i="1"/>
  <c r="U12" i="1"/>
  <c r="T12" i="1"/>
  <c r="S12" i="1"/>
  <c r="R12" i="1"/>
  <c r="Q12" i="1"/>
  <c r="L12" i="1"/>
  <c r="G12" i="1"/>
  <c r="C12" i="1"/>
  <c r="U11" i="1"/>
  <c r="T11" i="1"/>
  <c r="S11" i="1"/>
  <c r="R11" i="1"/>
  <c r="Q11" i="1"/>
  <c r="L11" i="1"/>
  <c r="G11" i="1"/>
  <c r="C11" i="1"/>
  <c r="U10" i="1"/>
  <c r="T10" i="1"/>
  <c r="S10" i="1"/>
  <c r="R10" i="1"/>
  <c r="Q10" i="1"/>
  <c r="L10" i="1"/>
  <c r="G10" i="1"/>
  <c r="C10" i="1"/>
  <c r="U9" i="1"/>
  <c r="T9" i="1"/>
  <c r="S9" i="1"/>
  <c r="R9" i="1"/>
  <c r="Q9" i="1"/>
  <c r="L9" i="1"/>
  <c r="G9" i="1"/>
  <c r="C9" i="1"/>
  <c r="U8" i="1"/>
  <c r="T8" i="1"/>
  <c r="S8" i="1"/>
  <c r="R8" i="1"/>
  <c r="Q8" i="1"/>
  <c r="L8" i="1"/>
  <c r="G8" i="1"/>
  <c r="C8" i="1"/>
  <c r="U7" i="1"/>
  <c r="T7" i="1"/>
  <c r="S7" i="1"/>
  <c r="R7" i="1"/>
  <c r="Q7" i="1"/>
  <c r="L7" i="1"/>
  <c r="G7" i="1"/>
  <c r="C7" i="1"/>
  <c r="U6" i="1"/>
  <c r="T6" i="1"/>
  <c r="S6" i="1"/>
  <c r="R6" i="1"/>
  <c r="Q6" i="1"/>
  <c r="L6" i="1"/>
  <c r="G6" i="1"/>
  <c r="C6" i="1"/>
  <c r="U5" i="1"/>
  <c r="T5" i="1"/>
  <c r="S5" i="1"/>
  <c r="R5" i="1"/>
  <c r="Q5" i="1"/>
  <c r="L5" i="1"/>
  <c r="G5" i="1"/>
  <c r="C5" i="1"/>
  <c r="U4" i="1"/>
  <c r="T4" i="1"/>
  <c r="S4" i="1"/>
  <c r="R4" i="1"/>
  <c r="Q4" i="1"/>
  <c r="L4" i="1"/>
  <c r="G4" i="1"/>
  <c r="C4" i="1"/>
  <c r="U3" i="1"/>
  <c r="T3" i="1"/>
  <c r="S3" i="1"/>
  <c r="R3" i="1"/>
  <c r="Q3" i="1"/>
  <c r="L3" i="1"/>
  <c r="G3" i="1"/>
  <c r="C3" i="1"/>
  <c r="W2" i="1"/>
  <c r="V2" i="1"/>
  <c r="U2" i="1"/>
  <c r="T2" i="1"/>
  <c r="S2" i="1"/>
  <c r="R2" i="1"/>
  <c r="Q2" i="1"/>
  <c r="L2" i="1"/>
  <c r="G2" i="1"/>
  <c r="C2" i="1"/>
  <c r="L30" i="5"/>
  <c r="H2" i="7"/>
  <c r="S89" i="5"/>
  <c r="T89"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FAA4E1-FDE4-489B-B3E6-6E357CB12FF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F8E563E-9195-4AF6-841A-F2E87FADEB3D}" name="WorksheetConnection_Web Analytic_Dataset.xlsx!Table1" type="102" refreshedVersion="8" minRefreshableVersion="5">
    <extLst>
      <ext xmlns:x15="http://schemas.microsoft.com/office/spreadsheetml/2010/11/main" uri="{DE250136-89BD-433C-8126-D09CA5730AF9}">
        <x15:connection id="Table1" autoDelete="1">
          <x15:rangePr sourceName="_xlcn.WorksheetConnection_WebAnalytic_Dataset.xlsxTable11"/>
        </x15:connection>
      </ext>
    </extLst>
  </connection>
  <connection id="3" xr16:uid="{8E071481-B420-4028-8346-0290EE231411}" name="WorksheetConnection_Web Analytic_Dataset.xlsx!Table4" type="102" refreshedVersion="8" minRefreshableVersion="5">
    <extLst>
      <ext xmlns:x15="http://schemas.microsoft.com/office/spreadsheetml/2010/11/main" uri="{DE250136-89BD-433C-8126-D09CA5730AF9}">
        <x15:connection id="Table4">
          <x15:rangePr sourceName="_xlcn.WorksheetConnection_WebAnalytic_Dataset.xlsxTable41"/>
        </x15:connection>
      </ext>
    </extLst>
  </connection>
</connections>
</file>

<file path=xl/sharedStrings.xml><?xml version="1.0" encoding="utf-8"?>
<sst xmlns="http://schemas.openxmlformats.org/spreadsheetml/2006/main" count="466" uniqueCount="114">
  <si>
    <t>Source / Medium</t>
  </si>
  <si>
    <t>Year</t>
  </si>
  <si>
    <t>Month of the year</t>
  </si>
  <si>
    <t>Users</t>
  </si>
  <si>
    <t>New Users</t>
  </si>
  <si>
    <t>Sessions</t>
  </si>
  <si>
    <t>Bounce Rate</t>
  </si>
  <si>
    <t>Pageviews</t>
  </si>
  <si>
    <t>Avg. Session Duration</t>
  </si>
  <si>
    <t>Conversion Rate (%)</t>
  </si>
  <si>
    <t>Transactions</t>
  </si>
  <si>
    <t>Revenue</t>
  </si>
  <si>
    <t>Quantity Sold</t>
  </si>
  <si>
    <t>A</t>
  </si>
  <si>
    <t>B</t>
  </si>
  <si>
    <t>C</t>
  </si>
  <si>
    <t>D</t>
  </si>
  <si>
    <t>E</t>
  </si>
  <si>
    <t>F</t>
  </si>
  <si>
    <t>G</t>
  </si>
  <si>
    <t>H</t>
  </si>
  <si>
    <t>I</t>
  </si>
  <si>
    <t>J</t>
  </si>
  <si>
    <t>K</t>
  </si>
  <si>
    <t>L</t>
  </si>
  <si>
    <t>M</t>
  </si>
  <si>
    <t>N</t>
  </si>
  <si>
    <t>O</t>
  </si>
  <si>
    <t>P</t>
  </si>
  <si>
    <t>R</t>
  </si>
  <si>
    <t>S</t>
  </si>
  <si>
    <t>T</t>
  </si>
  <si>
    <t>U</t>
  </si>
  <si>
    <t>l.M</t>
  </si>
  <si>
    <t>l.K</t>
  </si>
  <si>
    <t>V</t>
  </si>
  <si>
    <t>Y</t>
  </si>
  <si>
    <t>Z</t>
  </si>
  <si>
    <t>AA</t>
  </si>
  <si>
    <t>BB</t>
  </si>
  <si>
    <t>CC</t>
  </si>
  <si>
    <t>DD</t>
  </si>
  <si>
    <t>lI</t>
  </si>
  <si>
    <t>EE</t>
  </si>
  <si>
    <t>FF</t>
  </si>
  <si>
    <t>GG</t>
  </si>
  <si>
    <t>HH</t>
  </si>
  <si>
    <t>II</t>
  </si>
  <si>
    <t>JJ</t>
  </si>
  <si>
    <t>KK</t>
  </si>
  <si>
    <t>euromessage / push</t>
  </si>
  <si>
    <t>Date</t>
  </si>
  <si>
    <t>Returning Users</t>
  </si>
  <si>
    <t>Avg PageViews/Session</t>
  </si>
  <si>
    <t>User Retention Rate %</t>
  </si>
  <si>
    <t>Revenue Per User</t>
  </si>
  <si>
    <t>Revenue Per Session</t>
  </si>
  <si>
    <t>Revenue Per Transactions</t>
  </si>
  <si>
    <t>Cost Per Conversion %</t>
  </si>
  <si>
    <t>Sum of Users</t>
  </si>
  <si>
    <t>Grand Total</t>
  </si>
  <si>
    <t>Sum of Revenue</t>
  </si>
  <si>
    <t>KPI</t>
  </si>
  <si>
    <t>Sum of Conversion Rate (%)</t>
  </si>
  <si>
    <t>Average of Conversion Rate (%)</t>
  </si>
  <si>
    <t>Average Conversion rate 2019</t>
  </si>
  <si>
    <t>Average Conversion Rate in 2020</t>
  </si>
  <si>
    <t>Qtr3</t>
  </si>
  <si>
    <t>Sep</t>
  </si>
  <si>
    <t>Qtr4</t>
  </si>
  <si>
    <t>Oct</t>
  </si>
  <si>
    <t>Nov</t>
  </si>
  <si>
    <t>Dec</t>
  </si>
  <si>
    <t>Qtr1</t>
  </si>
  <si>
    <t>Jan</t>
  </si>
  <si>
    <t>Feb</t>
  </si>
  <si>
    <t>Mar</t>
  </si>
  <si>
    <t>Qtr2</t>
  </si>
  <si>
    <t>Apr</t>
  </si>
  <si>
    <t>May</t>
  </si>
  <si>
    <t>Jun</t>
  </si>
  <si>
    <t>Jul</t>
  </si>
  <si>
    <t>Aug</t>
  </si>
  <si>
    <t>Source</t>
  </si>
  <si>
    <t>Sum of Transactions</t>
  </si>
  <si>
    <t>Sum of Average Conversion Rate in 2020</t>
  </si>
  <si>
    <t>Sum of Average Conversion rate 2019</t>
  </si>
  <si>
    <t>Sum of Bounce Rate</t>
  </si>
  <si>
    <t>Average of Bounce Rate</t>
  </si>
  <si>
    <t>Average of Revenue Per Session</t>
  </si>
  <si>
    <t>YOY Metrics</t>
  </si>
  <si>
    <t xml:space="preserve">Users Growth </t>
  </si>
  <si>
    <t>Revenue YOY</t>
  </si>
  <si>
    <t>Tranasactions YOY</t>
  </si>
  <si>
    <t>Conversion rate</t>
  </si>
  <si>
    <t>Max of Conversion Rate (%)</t>
  </si>
  <si>
    <t>Month</t>
  </si>
  <si>
    <t>Sum of Pageviews</t>
  </si>
  <si>
    <t>Average of Pageviews</t>
  </si>
  <si>
    <t>Sum of Quantity Sold</t>
  </si>
  <si>
    <t>Sum of User Retention Rate %</t>
  </si>
  <si>
    <t>Sum of Returning Users</t>
  </si>
  <si>
    <t>Sum of New Users</t>
  </si>
  <si>
    <t>Average of Revenue Per User</t>
  </si>
  <si>
    <t>Average of Revenue</t>
  </si>
  <si>
    <t>Total Users</t>
  </si>
  <si>
    <t>Returning  Users</t>
  </si>
  <si>
    <t>Total Transactions</t>
  </si>
  <si>
    <t>Avg.  Revenue Per User</t>
  </si>
  <si>
    <t>Total Revenue</t>
  </si>
  <si>
    <t>Avg. Revenue Per Session</t>
  </si>
  <si>
    <t>Max Conversion Rate %</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</si>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</sst>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_-[$$-409]* #,##0.00_ ;_-[$$-409]* \-#,##0.00\ ;_-[$$-409]* &quot;-&quot;??_ ;_-@_ "/>
    <numFmt numFmtId="165" formatCode="_-[$$-409]* #,##0_ ;_-[$$-409]* \-#,##0\ ;_-[$$-409]* &quot;-&quot;??_ ;_-@_ "/>
    <numFmt numFmtId="166" formatCode="[$-F400]h:mm:ss\ AM/PM"/>
    <numFmt numFmtId="167" formatCode="0.0"/>
    <numFmt numFmtId="168" formatCode="0.0%"/>
    <numFmt numFmtId="169" formatCode="\$\ 0.00"/>
    <numFmt numFmtId="170" formatCode="\$\ 0.00,\ \K"/>
    <numFmt numFmtId="171" formatCode="\$\ 0.0,\ \K"/>
    <numFmt numFmtId="172" formatCode="0.0,\ \K"/>
    <numFmt numFmtId="173" formatCode="0.00,\ \K"/>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charset val="1"/>
      <scheme val="minor"/>
    </font>
    <font>
      <sz val="11"/>
      <color theme="1"/>
      <name val="Bahnschrift"/>
      <family val="2"/>
    </font>
    <font>
      <sz val="11"/>
      <color rgb="FFFF3828"/>
      <name val="Bahnschrift"/>
      <family val="2"/>
    </font>
    <font>
      <sz val="16"/>
      <color theme="0"/>
      <name val="Bahnschrift"/>
      <family val="2"/>
    </font>
    <font>
      <b/>
      <sz val="14"/>
      <color theme="0"/>
      <name val="Calibri"/>
      <family val="2"/>
      <scheme val="minor"/>
    </font>
    <font>
      <sz val="11"/>
      <color theme="1"/>
      <name val="Aptos Narrow"/>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1"/>
        <bgColor indexed="64"/>
      </patternFill>
    </fill>
    <fill>
      <patternFill patternType="solid">
        <fgColor theme="3" tint="-0.249977111117893"/>
        <bgColor indexed="64"/>
      </patternFill>
    </fill>
    <fill>
      <patternFill patternType="solid">
        <fgColor theme="1" tint="0.149998474074526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FF3828"/>
      </right>
      <top/>
      <bottom/>
      <diagonal/>
    </border>
  </borders>
  <cellStyleXfs count="45">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9" fontId="18" fillId="0" borderId="0" applyFont="0" applyFill="0" applyBorder="0" applyAlignment="0" applyProtection="0"/>
  </cellStyleXfs>
  <cellXfs count="39">
    <xf numFmtId="0" fontId="0" fillId="0" borderId="0" xfId="0"/>
    <xf numFmtId="3" fontId="0" fillId="0" borderId="0" xfId="0" applyNumberFormat="1"/>
    <xf numFmtId="10" fontId="0" fillId="0" borderId="0" xfId="0" applyNumberFormat="1"/>
    <xf numFmtId="21" fontId="0" fillId="0" borderId="0" xfId="0" applyNumberFormat="1"/>
    <xf numFmtId="14" fontId="0" fillId="0" borderId="0" xfId="0" applyNumberFormat="1"/>
    <xf numFmtId="9" fontId="0" fillId="0" borderId="0" xfId="1" applyFont="1"/>
    <xf numFmtId="164" fontId="0" fillId="0" borderId="0" xfId="0" applyNumberFormat="1"/>
    <xf numFmtId="165" fontId="0" fillId="0" borderId="0" xfId="0" applyNumberFormat="1"/>
    <xf numFmtId="166" fontId="0" fillId="0" borderId="0" xfId="0" applyNumberFormat="1"/>
    <xf numFmtId="2" fontId="0" fillId="0" borderId="0" xfId="0" applyNumberFormat="1"/>
    <xf numFmtId="167" fontId="0" fillId="0" borderId="0" xfId="0" applyNumberFormat="1"/>
    <xf numFmtId="1" fontId="0" fillId="0" borderId="0" xfId="0" applyNumberFormat="1"/>
    <xf numFmtId="0"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0" borderId="0" xfId="0" applyAlignment="1">
      <alignment horizontal="left" indent="1"/>
    </xf>
    <xf numFmtId="0" fontId="0" fillId="34" borderId="0" xfId="0" applyFill="1"/>
    <xf numFmtId="0" fontId="0" fillId="35" borderId="0" xfId="0" applyFill="1"/>
    <xf numFmtId="0" fontId="0" fillId="0" borderId="0" xfId="0" applyAlignment="1">
      <alignment horizontal="center" vertical="center"/>
    </xf>
    <xf numFmtId="172" fontId="0" fillId="0" borderId="0" xfId="0" applyNumberFormat="1"/>
    <xf numFmtId="0" fontId="19" fillId="34" borderId="0" xfId="43" applyFont="1" applyFill="1"/>
    <xf numFmtId="0" fontId="20" fillId="36" borderId="10" xfId="43" applyFont="1" applyFill="1" applyBorder="1" applyAlignment="1">
      <alignment horizontal="center" vertical="top"/>
    </xf>
    <xf numFmtId="169" fontId="20" fillId="36" borderId="10" xfId="43" applyNumberFormat="1" applyFont="1" applyFill="1" applyBorder="1" applyAlignment="1">
      <alignment horizontal="center" vertical="top"/>
    </xf>
    <xf numFmtId="0" fontId="0" fillId="36" borderId="0" xfId="0" applyFill="1"/>
    <xf numFmtId="0" fontId="0" fillId="36" borderId="0" xfId="0" applyFill="1" applyAlignment="1"/>
    <xf numFmtId="0" fontId="0" fillId="34" borderId="0" xfId="0" applyFill="1" applyAlignment="1">
      <alignment horizontal="center" vertical="center"/>
    </xf>
    <xf numFmtId="0" fontId="23" fillId="34" borderId="0" xfId="0" applyFont="1" applyFill="1"/>
    <xf numFmtId="168" fontId="0" fillId="0" borderId="0" xfId="1" applyNumberFormat="1" applyFont="1"/>
    <xf numFmtId="170" fontId="0" fillId="0" borderId="0" xfId="0" applyNumberFormat="1"/>
    <xf numFmtId="171" fontId="0" fillId="0" borderId="0" xfId="0" applyNumberFormat="1"/>
    <xf numFmtId="173" fontId="0" fillId="0" borderId="0" xfId="0" applyNumberFormat="1"/>
    <xf numFmtId="0" fontId="14" fillId="33" borderId="0" xfId="0" applyFont="1" applyFill="1" applyAlignment="1">
      <alignment horizontal="center" vertical="center"/>
    </xf>
    <xf numFmtId="0" fontId="21" fillId="36" borderId="10" xfId="43" applyFont="1" applyFill="1" applyBorder="1" applyAlignment="1">
      <alignment horizontal="center" vertical="center"/>
    </xf>
    <xf numFmtId="0" fontId="22" fillId="36" borderId="0" xfId="0" applyFont="1" applyFill="1" applyAlignment="1">
      <alignment horizontal="center"/>
    </xf>
    <xf numFmtId="1" fontId="21" fillId="36" borderId="10" xfId="43" applyNumberFormat="1" applyFont="1" applyFill="1" applyBorder="1" applyAlignment="1">
      <alignment horizontal="center" vertical="center"/>
    </xf>
    <xf numFmtId="171" fontId="21" fillId="36" borderId="10" xfId="43" applyNumberFormat="1" applyFont="1" applyFill="1" applyBorder="1" applyAlignment="1">
      <alignment horizontal="center" vertical="center"/>
    </xf>
    <xf numFmtId="169" fontId="21" fillId="36" borderId="10" xfId="43" applyNumberFormat="1" applyFont="1" applyFill="1" applyBorder="1" applyAlignment="1">
      <alignment horizontal="center" vertical="center"/>
    </xf>
    <xf numFmtId="170" fontId="21" fillId="36" borderId="10" xfId="43" applyNumberFormat="1" applyFont="1" applyFill="1" applyBorder="1" applyAlignment="1">
      <alignment horizontal="center" vertical="center"/>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xfId="43" xr:uid="{B17D1048-1A2D-4D77-A69F-21DDA403D6BA}"/>
    <cellStyle name="Note" xfId="16" builtinId="10" customBuiltin="1"/>
    <cellStyle name="Output" xfId="11" builtinId="21" customBuiltin="1"/>
    <cellStyle name="Percent" xfId="1" builtinId="5"/>
    <cellStyle name="Percent 2" xfId="44" xr:uid="{3E212124-5AAB-4EC7-A3C8-29462A97A25C}"/>
    <cellStyle name="Title" xfId="2" builtinId="15" customBuiltin="1"/>
    <cellStyle name="Total" xfId="18" builtinId="25" customBuiltin="1"/>
    <cellStyle name="Warning Text" xfId="15" builtinId="11" customBuiltin="1"/>
  </cellStyles>
  <dxfs count="236">
    <dxf>
      <numFmt numFmtId="171" formatCode="\$\ 0.0,\ \K"/>
    </dxf>
    <dxf>
      <numFmt numFmtId="2" formatCode="0.00"/>
    </dxf>
    <dxf>
      <numFmt numFmtId="2" formatCode="0.00"/>
    </dxf>
    <dxf>
      <numFmt numFmtId="14" formatCode="0.00%"/>
    </dxf>
    <dxf>
      <numFmt numFmtId="2" formatCode="0.00"/>
    </dxf>
    <dxf>
      <numFmt numFmtId="2" formatCode="0.00"/>
    </dxf>
    <dxf>
      <numFmt numFmtId="2" formatCode="0.00"/>
    </dxf>
    <dxf>
      <numFmt numFmtId="170" formatCode="\$\ 0.00,\ \K"/>
    </dxf>
    <dxf>
      <numFmt numFmtId="1" formatCode="0"/>
    </dxf>
    <dxf>
      <numFmt numFmtId="172" formatCode="0.0,\ \K"/>
    </dxf>
    <dxf>
      <numFmt numFmtId="2" formatCode="0.00"/>
    </dxf>
    <dxf>
      <numFmt numFmtId="2" formatCode="0.00"/>
    </dxf>
    <dxf>
      <numFmt numFmtId="2" formatCode="0.00"/>
    </dxf>
    <dxf>
      <numFmt numFmtId="2" formatCode="0.00"/>
    </dxf>
    <dxf>
      <numFmt numFmtId="2" formatCode="0.00"/>
    </dxf>
    <dxf>
      <numFmt numFmtId="165" formatCode="_-[$$-409]* #,##0_ ;_-[$$-409]* \-#,##0\ ;_-[$$-409]* &quot;-&quot;??_ ;_-@_ "/>
    </dxf>
    <dxf>
      <numFmt numFmtId="2" formatCode="0.00"/>
    </dxf>
    <dxf>
      <numFmt numFmtId="13" formatCode="0%"/>
    </dxf>
    <dxf>
      <numFmt numFmtId="164" formatCode="_-[$$-409]* #,##0.00_ ;_-[$$-409]* \-#,##0.00\ ;_-[$$-409]* &quot;-&quot;??_ ;_-@_ "/>
    </dxf>
    <dxf>
      <numFmt numFmtId="2" formatCode="0.00"/>
    </dxf>
    <dxf>
      <numFmt numFmtId="170" formatCode="\$\ 0.00,\ \K"/>
    </dxf>
    <dxf>
      <numFmt numFmtId="170" formatCode="\$\ 0.00,\ \K"/>
    </dxf>
    <dxf>
      <numFmt numFmtId="170" formatCode="\$\ 0.00,\ \K"/>
    </dxf>
    <dxf>
      <numFmt numFmtId="172" formatCode="0.0,\ \K"/>
    </dxf>
    <dxf>
      <numFmt numFmtId="2" formatCode="0.00"/>
    </dxf>
    <dxf>
      <numFmt numFmtId="173" formatCode="0.00,\ \K"/>
    </dxf>
    <dxf>
      <numFmt numFmtId="171" formatCode="\$\ 0.0,\ \K"/>
    </dxf>
    <dxf>
      <numFmt numFmtId="171" formatCode="\$\ 0.0,\ \K"/>
    </dxf>
    <dxf>
      <numFmt numFmtId="2" formatCode="0.00"/>
    </dxf>
    <dxf>
      <numFmt numFmtId="2" formatCode="0.00"/>
    </dxf>
    <dxf>
      <numFmt numFmtId="14" formatCode="0.00%"/>
    </dxf>
    <dxf>
      <numFmt numFmtId="2" formatCode="0.00"/>
    </dxf>
    <dxf>
      <numFmt numFmtId="2" formatCode="0.00"/>
    </dxf>
    <dxf>
      <numFmt numFmtId="2" formatCode="0.00"/>
    </dxf>
    <dxf>
      <numFmt numFmtId="170" formatCode="\$\ 0.00,\ \K"/>
    </dxf>
    <dxf>
      <numFmt numFmtId="1" formatCode="0"/>
    </dxf>
    <dxf>
      <numFmt numFmtId="172" formatCode="0.0,\ \K"/>
    </dxf>
    <dxf>
      <numFmt numFmtId="2" formatCode="0.00"/>
    </dxf>
    <dxf>
      <numFmt numFmtId="2" formatCode="0.00"/>
    </dxf>
    <dxf>
      <numFmt numFmtId="2" formatCode="0.00"/>
    </dxf>
    <dxf>
      <numFmt numFmtId="2" formatCode="0.00"/>
    </dxf>
    <dxf>
      <numFmt numFmtId="2" formatCode="0.00"/>
    </dxf>
    <dxf>
      <numFmt numFmtId="165" formatCode="_-[$$-409]* #,##0_ ;_-[$$-409]* \-#,##0\ ;_-[$$-409]* &quot;-&quot;??_ ;_-@_ "/>
    </dxf>
    <dxf>
      <numFmt numFmtId="2" formatCode="0.00"/>
    </dxf>
    <dxf>
      <numFmt numFmtId="13" formatCode="0%"/>
    </dxf>
    <dxf>
      <numFmt numFmtId="164" formatCode="_-[$$-409]* #,##0.00_ ;_-[$$-409]* \-#,##0.00\ ;_-[$$-409]* &quot;-&quot;??_ ;_-@_ "/>
    </dxf>
    <dxf>
      <numFmt numFmtId="2" formatCode="0.00"/>
    </dxf>
    <dxf>
      <numFmt numFmtId="170" formatCode="\$\ 0.00,\ \K"/>
    </dxf>
    <dxf>
      <numFmt numFmtId="170" formatCode="\$\ 0.00,\ \K"/>
    </dxf>
    <dxf>
      <numFmt numFmtId="170" formatCode="\$\ 0.00,\ \K"/>
    </dxf>
    <dxf>
      <numFmt numFmtId="172" formatCode="0.0,\ \K"/>
    </dxf>
    <dxf>
      <numFmt numFmtId="2" formatCode="0.00"/>
    </dxf>
    <dxf>
      <numFmt numFmtId="173" formatCode="0.00,\ \K"/>
    </dxf>
    <dxf>
      <numFmt numFmtId="171" formatCode="\$\ 0.0,\ \K"/>
    </dxf>
    <dxf>
      <numFmt numFmtId="171" formatCode="\$\ 0.0,\ \K"/>
    </dxf>
    <dxf>
      <numFmt numFmtId="2" formatCode="0.00"/>
    </dxf>
    <dxf>
      <numFmt numFmtId="2" formatCode="0.00"/>
    </dxf>
    <dxf>
      <numFmt numFmtId="14" formatCode="0.00%"/>
    </dxf>
    <dxf>
      <numFmt numFmtId="2" formatCode="0.00"/>
    </dxf>
    <dxf>
      <numFmt numFmtId="2" formatCode="0.00"/>
    </dxf>
    <dxf>
      <numFmt numFmtId="2" formatCode="0.00"/>
    </dxf>
    <dxf>
      <numFmt numFmtId="170" formatCode="\$\ 0.00,\ \K"/>
    </dxf>
    <dxf>
      <numFmt numFmtId="1" formatCode="0"/>
    </dxf>
    <dxf>
      <numFmt numFmtId="172" formatCode="0.0,\ \K"/>
    </dxf>
    <dxf>
      <numFmt numFmtId="2" formatCode="0.00"/>
    </dxf>
    <dxf>
      <numFmt numFmtId="2" formatCode="0.00"/>
    </dxf>
    <dxf>
      <numFmt numFmtId="2" formatCode="0.00"/>
    </dxf>
    <dxf>
      <numFmt numFmtId="2" formatCode="0.00"/>
    </dxf>
    <dxf>
      <numFmt numFmtId="2" formatCode="0.00"/>
    </dxf>
    <dxf>
      <numFmt numFmtId="165" formatCode="_-[$$-409]* #,##0_ ;_-[$$-409]* \-#,##0\ ;_-[$$-409]* &quot;-&quot;??_ ;_-@_ "/>
    </dxf>
    <dxf>
      <numFmt numFmtId="2" formatCode="0.00"/>
    </dxf>
    <dxf>
      <numFmt numFmtId="13" formatCode="0%"/>
    </dxf>
    <dxf>
      <numFmt numFmtId="164" formatCode="_-[$$-409]* #,##0.00_ ;_-[$$-409]* \-#,##0.00\ ;_-[$$-409]* &quot;-&quot;??_ ;_-@_ "/>
    </dxf>
    <dxf>
      <numFmt numFmtId="2" formatCode="0.00"/>
    </dxf>
    <dxf>
      <numFmt numFmtId="170" formatCode="\$\ 0.00,\ \K"/>
    </dxf>
    <dxf>
      <numFmt numFmtId="170" formatCode="\$\ 0.00,\ \K"/>
    </dxf>
    <dxf>
      <numFmt numFmtId="170" formatCode="\$\ 0.00,\ \K"/>
    </dxf>
    <dxf>
      <numFmt numFmtId="172" formatCode="0.0,\ \K"/>
    </dxf>
    <dxf>
      <numFmt numFmtId="2" formatCode="0.00"/>
    </dxf>
    <dxf>
      <numFmt numFmtId="173" formatCode="0.00,\ \K"/>
    </dxf>
    <dxf>
      <numFmt numFmtId="171" formatCode="\$\ 0.0,\ \K"/>
    </dxf>
    <dxf>
      <numFmt numFmtId="171" formatCode="\$\ 0.0,\ \K"/>
    </dxf>
    <dxf>
      <numFmt numFmtId="2" formatCode="0.00"/>
    </dxf>
    <dxf>
      <numFmt numFmtId="2" formatCode="0.00"/>
    </dxf>
    <dxf>
      <numFmt numFmtId="14" formatCode="0.00%"/>
    </dxf>
    <dxf>
      <numFmt numFmtId="2" formatCode="0.00"/>
    </dxf>
    <dxf>
      <numFmt numFmtId="2" formatCode="0.00"/>
    </dxf>
    <dxf>
      <numFmt numFmtId="2" formatCode="0.00"/>
    </dxf>
    <dxf>
      <numFmt numFmtId="170" formatCode="\$\ 0.00,\ \K"/>
    </dxf>
    <dxf>
      <numFmt numFmtId="1" formatCode="0"/>
    </dxf>
    <dxf>
      <numFmt numFmtId="172" formatCode="0.0,\ \K"/>
    </dxf>
    <dxf>
      <numFmt numFmtId="2" formatCode="0.00"/>
    </dxf>
    <dxf>
      <numFmt numFmtId="2" formatCode="0.00"/>
    </dxf>
    <dxf>
      <numFmt numFmtId="2" formatCode="0.00"/>
    </dxf>
    <dxf>
      <numFmt numFmtId="2" formatCode="0.00"/>
    </dxf>
    <dxf>
      <numFmt numFmtId="2" formatCode="0.00"/>
    </dxf>
    <dxf>
      <numFmt numFmtId="165" formatCode="_-[$$-409]* #,##0_ ;_-[$$-409]* \-#,##0\ ;_-[$$-409]* &quot;-&quot;??_ ;_-@_ "/>
    </dxf>
    <dxf>
      <numFmt numFmtId="2" formatCode="0.00"/>
    </dxf>
    <dxf>
      <numFmt numFmtId="13" formatCode="0%"/>
    </dxf>
    <dxf>
      <numFmt numFmtId="164" formatCode="_-[$$-409]* #,##0.00_ ;_-[$$-409]* \-#,##0.00\ ;_-[$$-409]* &quot;-&quot;??_ ;_-@_ "/>
    </dxf>
    <dxf>
      <numFmt numFmtId="2" formatCode="0.00"/>
    </dxf>
    <dxf>
      <numFmt numFmtId="170" formatCode="\$\ 0.00,\ \K"/>
    </dxf>
    <dxf>
      <numFmt numFmtId="170" formatCode="\$\ 0.00,\ \K"/>
    </dxf>
    <dxf>
      <numFmt numFmtId="170" formatCode="\$\ 0.00,\ \K"/>
    </dxf>
    <dxf>
      <numFmt numFmtId="172" formatCode="0.0,\ \K"/>
    </dxf>
    <dxf>
      <numFmt numFmtId="2" formatCode="0.00"/>
    </dxf>
    <dxf>
      <numFmt numFmtId="173" formatCode="0.00,\ \K"/>
    </dxf>
    <dxf>
      <numFmt numFmtId="171" formatCode="\$\ 0.0,\ \K"/>
    </dxf>
    <dxf>
      <numFmt numFmtId="171" formatCode="\$\ 0.0,\ \K"/>
    </dxf>
    <dxf>
      <numFmt numFmtId="2" formatCode="0.00"/>
    </dxf>
    <dxf>
      <numFmt numFmtId="2" formatCode="0.00"/>
    </dxf>
    <dxf>
      <numFmt numFmtId="14" formatCode="0.00%"/>
    </dxf>
    <dxf>
      <numFmt numFmtId="2" formatCode="0.00"/>
    </dxf>
    <dxf>
      <numFmt numFmtId="2" formatCode="0.00"/>
    </dxf>
    <dxf>
      <numFmt numFmtId="2" formatCode="0.00"/>
    </dxf>
    <dxf>
      <numFmt numFmtId="170" formatCode="\$\ 0.00,\ \K"/>
    </dxf>
    <dxf>
      <numFmt numFmtId="1" formatCode="0"/>
    </dxf>
    <dxf>
      <numFmt numFmtId="172" formatCode="0.0,\ \K"/>
    </dxf>
    <dxf>
      <numFmt numFmtId="2" formatCode="0.00"/>
    </dxf>
    <dxf>
      <numFmt numFmtId="2" formatCode="0.00"/>
    </dxf>
    <dxf>
      <numFmt numFmtId="2" formatCode="0.00"/>
    </dxf>
    <dxf>
      <numFmt numFmtId="2" formatCode="0.00"/>
    </dxf>
    <dxf>
      <numFmt numFmtId="2" formatCode="0.00"/>
    </dxf>
    <dxf>
      <numFmt numFmtId="165" formatCode="_-[$$-409]* #,##0_ ;_-[$$-409]* \-#,##0\ ;_-[$$-409]* &quot;-&quot;??_ ;_-@_ "/>
    </dxf>
    <dxf>
      <numFmt numFmtId="2" formatCode="0.00"/>
    </dxf>
    <dxf>
      <numFmt numFmtId="13" formatCode="0%"/>
    </dxf>
    <dxf>
      <numFmt numFmtId="164" formatCode="_-[$$-409]* #,##0.00_ ;_-[$$-409]* \-#,##0.00\ ;_-[$$-409]* &quot;-&quot;??_ ;_-@_ "/>
    </dxf>
    <dxf>
      <numFmt numFmtId="2" formatCode="0.00"/>
    </dxf>
    <dxf>
      <numFmt numFmtId="170" formatCode="\$\ 0.00,\ \K"/>
    </dxf>
    <dxf>
      <numFmt numFmtId="170" formatCode="\$\ 0.00,\ \K"/>
    </dxf>
    <dxf>
      <numFmt numFmtId="170" formatCode="\$\ 0.00,\ \K"/>
    </dxf>
    <dxf>
      <numFmt numFmtId="172" formatCode="0.0,\ \K"/>
    </dxf>
    <dxf>
      <numFmt numFmtId="2" formatCode="0.00"/>
    </dxf>
    <dxf>
      <numFmt numFmtId="173" formatCode="0.00,\ \K"/>
    </dxf>
    <dxf>
      <numFmt numFmtId="171" formatCode="\$\ 0.0,\ \K"/>
    </dxf>
    <dxf>
      <numFmt numFmtId="171" formatCode="\$\ 0.0,\ \K"/>
    </dxf>
    <dxf>
      <numFmt numFmtId="2" formatCode="0.00"/>
    </dxf>
    <dxf>
      <numFmt numFmtId="2" formatCode="0.00"/>
    </dxf>
    <dxf>
      <numFmt numFmtId="14" formatCode="0.00%"/>
    </dxf>
    <dxf>
      <numFmt numFmtId="2" formatCode="0.00"/>
    </dxf>
    <dxf>
      <numFmt numFmtId="2" formatCode="0.00"/>
    </dxf>
    <dxf>
      <numFmt numFmtId="2" formatCode="0.00"/>
    </dxf>
    <dxf>
      <numFmt numFmtId="170" formatCode="\$\ 0.00,\ \K"/>
    </dxf>
    <dxf>
      <numFmt numFmtId="1" formatCode="0"/>
    </dxf>
    <dxf>
      <numFmt numFmtId="172" formatCode="0.0,\ \K"/>
    </dxf>
    <dxf>
      <numFmt numFmtId="2" formatCode="0.00"/>
    </dxf>
    <dxf>
      <numFmt numFmtId="2" formatCode="0.00"/>
    </dxf>
    <dxf>
      <numFmt numFmtId="2" formatCode="0.00"/>
    </dxf>
    <dxf>
      <numFmt numFmtId="2" formatCode="0.00"/>
    </dxf>
    <dxf>
      <numFmt numFmtId="2" formatCode="0.00"/>
    </dxf>
    <dxf>
      <numFmt numFmtId="165" formatCode="_-[$$-409]* #,##0_ ;_-[$$-409]* \-#,##0\ ;_-[$$-409]* &quot;-&quot;??_ ;_-@_ "/>
    </dxf>
    <dxf>
      <numFmt numFmtId="2" formatCode="0.00"/>
    </dxf>
    <dxf>
      <numFmt numFmtId="13" formatCode="0%"/>
    </dxf>
    <dxf>
      <numFmt numFmtId="164" formatCode="_-[$$-409]* #,##0.00_ ;_-[$$-409]* \-#,##0.00\ ;_-[$$-409]* &quot;-&quot;??_ ;_-@_ "/>
    </dxf>
    <dxf>
      <numFmt numFmtId="2" formatCode="0.00"/>
    </dxf>
    <dxf>
      <numFmt numFmtId="170" formatCode="\$\ 0.00,\ \K"/>
    </dxf>
    <dxf>
      <numFmt numFmtId="170" formatCode="\$\ 0.00,\ \K"/>
    </dxf>
    <dxf>
      <numFmt numFmtId="170" formatCode="\$\ 0.00,\ \K"/>
    </dxf>
    <dxf>
      <numFmt numFmtId="172" formatCode="0.0,\ \K"/>
    </dxf>
    <dxf>
      <numFmt numFmtId="2" formatCode="0.00"/>
    </dxf>
    <dxf>
      <numFmt numFmtId="173" formatCode="0.00,\ \K"/>
    </dxf>
    <dxf>
      <numFmt numFmtId="171" formatCode="\$\ 0.0,\ \K"/>
    </dxf>
    <dxf>
      <numFmt numFmtId="171" formatCode="\$\ 0.0,\ \K"/>
    </dxf>
    <dxf>
      <numFmt numFmtId="2" formatCode="0.00"/>
    </dxf>
    <dxf>
      <numFmt numFmtId="2" formatCode="0.00"/>
    </dxf>
    <dxf>
      <numFmt numFmtId="14" formatCode="0.00%"/>
    </dxf>
    <dxf>
      <numFmt numFmtId="2" formatCode="0.00"/>
    </dxf>
    <dxf>
      <numFmt numFmtId="2" formatCode="0.00"/>
    </dxf>
    <dxf>
      <numFmt numFmtId="2" formatCode="0.00"/>
    </dxf>
    <dxf>
      <numFmt numFmtId="170" formatCode="\$\ 0.00,\ \K"/>
    </dxf>
    <dxf>
      <numFmt numFmtId="1" formatCode="0"/>
    </dxf>
    <dxf>
      <numFmt numFmtId="172" formatCode="0.0,\ \K"/>
    </dxf>
    <dxf>
      <numFmt numFmtId="2" formatCode="0.00"/>
    </dxf>
    <dxf>
      <numFmt numFmtId="2" formatCode="0.00"/>
    </dxf>
    <dxf>
      <numFmt numFmtId="2" formatCode="0.00"/>
    </dxf>
    <dxf>
      <numFmt numFmtId="2" formatCode="0.00"/>
    </dxf>
    <dxf>
      <numFmt numFmtId="2" formatCode="0.00"/>
    </dxf>
    <dxf>
      <numFmt numFmtId="165" formatCode="_-[$$-409]* #,##0_ ;_-[$$-409]* \-#,##0\ ;_-[$$-409]* &quot;-&quot;??_ ;_-@_ "/>
    </dxf>
    <dxf>
      <numFmt numFmtId="2" formatCode="0.00"/>
    </dxf>
    <dxf>
      <numFmt numFmtId="13" formatCode="0%"/>
    </dxf>
    <dxf>
      <numFmt numFmtId="164" formatCode="_-[$$-409]* #,##0.00_ ;_-[$$-409]* \-#,##0.00\ ;_-[$$-409]* &quot;-&quot;??_ ;_-@_ "/>
    </dxf>
    <dxf>
      <numFmt numFmtId="2" formatCode="0.00"/>
    </dxf>
    <dxf>
      <numFmt numFmtId="170" formatCode="\$\ 0.00,\ \K"/>
    </dxf>
    <dxf>
      <numFmt numFmtId="170" formatCode="\$\ 0.00,\ \K"/>
    </dxf>
    <dxf>
      <numFmt numFmtId="170" formatCode="\$\ 0.00,\ \K"/>
    </dxf>
    <dxf>
      <numFmt numFmtId="172" formatCode="0.0,\ \K"/>
    </dxf>
    <dxf>
      <numFmt numFmtId="2" formatCode="0.00"/>
    </dxf>
    <dxf>
      <numFmt numFmtId="173" formatCode="0.00,\ \K"/>
    </dxf>
    <dxf>
      <numFmt numFmtId="171" formatCode="\$\ 0.0,\ \K"/>
    </dxf>
    <dxf>
      <font>
        <b/>
        <i val="0"/>
        <sz val="12"/>
        <color theme="0"/>
        <name val="Calibri"/>
        <family val="2"/>
        <scheme val="minor"/>
      </font>
      <fill>
        <patternFill>
          <bgColor theme="1" tint="0.14996795556505021"/>
        </patternFill>
      </fill>
      <border diagonalUp="0" diagonalDown="0">
        <left/>
        <right/>
        <top/>
        <bottom/>
        <vertical/>
        <horizontal/>
      </border>
    </dxf>
    <dxf>
      <font>
        <b val="0"/>
        <i val="0"/>
        <color theme="0"/>
        <name val="Bahnschrift SemiLight"/>
        <family val="2"/>
        <scheme val="none"/>
      </font>
      <fill>
        <patternFill patternType="solid">
          <fgColor theme="0"/>
          <bgColor theme="1" tint="0.14996795556505021"/>
        </patternFill>
      </fill>
      <border>
        <left style="thin">
          <color theme="1" tint="-0.499984740745262"/>
        </left>
        <right style="thin">
          <color theme="1" tint="-0.499984740745262"/>
        </right>
        <top style="thin">
          <color theme="1" tint="-0.499984740745262"/>
        </top>
        <bottom style="thin">
          <color theme="1" tint="-0.499984740745262"/>
        </bottom>
      </border>
    </dxf>
    <dxf>
      <numFmt numFmtId="2" formatCode="0.00"/>
    </dxf>
    <dxf>
      <numFmt numFmtId="172" formatCode="0.0,\ \K"/>
    </dxf>
    <dxf>
      <numFmt numFmtId="165" formatCode="_-[$$-409]* #,##0_ ;_-[$$-409]* \-#,##0\ ;_-[$$-409]* &quot;-&quot;??_ ;_-@_ "/>
    </dxf>
    <dxf>
      <numFmt numFmtId="2" formatCode="0.00"/>
    </dxf>
    <dxf>
      <numFmt numFmtId="2" formatCode="0.00"/>
    </dxf>
    <dxf>
      <numFmt numFmtId="2" formatCode="0.00"/>
    </dxf>
    <dxf>
      <numFmt numFmtId="2" formatCode="0.00"/>
    </dxf>
    <dxf>
      <numFmt numFmtId="171" formatCode="\$\ 0.0,\ \K"/>
    </dxf>
    <dxf>
      <numFmt numFmtId="2" formatCode="0.00"/>
    </dxf>
    <dxf>
      <numFmt numFmtId="171" formatCode="\$\ 0.0,\ \K"/>
    </dxf>
    <dxf>
      <numFmt numFmtId="173" formatCode="0.00,\ \K"/>
    </dxf>
    <dxf>
      <numFmt numFmtId="2" formatCode="0.00"/>
    </dxf>
    <dxf>
      <numFmt numFmtId="164" formatCode="_-[$$-409]* #,##0.00_ ;_-[$$-409]* \-#,##0.00\ ;_-[$$-409]* &quot;-&quot;??_ ;_-@_ "/>
    </dxf>
    <dxf>
      <numFmt numFmtId="13" formatCode="0%"/>
    </dxf>
    <dxf>
      <numFmt numFmtId="2" formatCode="0.00"/>
    </dxf>
    <dxf>
      <numFmt numFmtId="2" formatCode="0.00"/>
    </dxf>
    <dxf>
      <numFmt numFmtId="170" formatCode="\$\ 0.00,\ \K"/>
    </dxf>
    <dxf>
      <numFmt numFmtId="170" formatCode="\$\ 0.00,\ \K"/>
    </dxf>
    <dxf>
      <numFmt numFmtId="170" formatCode="\$\ 0.00,\ \K"/>
    </dxf>
    <dxf>
      <numFmt numFmtId="2" formatCode="0.00"/>
    </dxf>
    <dxf>
      <numFmt numFmtId="1" formatCode="0"/>
    </dxf>
    <dxf>
      <numFmt numFmtId="170" formatCode="\$\ 0.00,\ \K"/>
    </dxf>
    <dxf>
      <numFmt numFmtId="2" formatCode="0.00"/>
    </dxf>
    <dxf>
      <numFmt numFmtId="14" formatCode="0.00%"/>
    </dxf>
    <dxf>
      <numFmt numFmtId="2" formatCode="0.00"/>
    </dxf>
    <dxf>
      <numFmt numFmtId="2" formatCode="0.00"/>
    </dxf>
    <dxf>
      <numFmt numFmtId="172" formatCode="0.0,\ \K"/>
    </dxf>
    <dxf>
      <numFmt numFmtId="164" formatCode="_-[$$-409]* #,##0.00_ ;_-[$$-409]* \-#,##0.00\ ;_-[$$-409]* &quot;-&quot;??_ ;_-@_ "/>
    </dxf>
    <dxf>
      <numFmt numFmtId="164" formatCode="_-[$$-409]* #,##0.00_ ;_-[$$-409]* \-#,##0.00\ ;_-[$$-409]* &quot;-&quot;??_ ;_-@_ "/>
    </dxf>
    <dxf>
      <numFmt numFmtId="167" formatCode="0.0"/>
    </dxf>
    <dxf>
      <numFmt numFmtId="164" formatCode="_-[$$-409]* #,##0.00_ ;_-[$$-409]* \-#,##0.00\ ;_-[$$-409]* &quot;-&quot;??_ ;_-@_ "/>
    </dxf>
    <dxf>
      <numFmt numFmtId="164" formatCode="_-[$$-409]* #,##0.00_ ;_-[$$-409]* \-#,##0.00\ ;_-[$$-409]* &quot;-&quot;??_ ;_-@_ "/>
    </dxf>
    <dxf>
      <numFmt numFmtId="164" formatCode="_-[$$-409]* #,##0.00_ ;_-[$$-409]* \-#,##0.00\ ;_-[$$-409]* &quot;-&quot;??_ ;_-@_ "/>
    </dxf>
    <dxf>
      <numFmt numFmtId="167" formatCode="0.0"/>
    </dxf>
    <dxf>
      <numFmt numFmtId="165" formatCode="_-[$$-409]* #,##0_ ;_-[$$-409]* \-#,##0\ ;_-[$$-409]* &quot;-&quot;??_ ;_-@_ "/>
    </dxf>
    <dxf>
      <font>
        <b val="0"/>
        <i val="0"/>
        <strike val="0"/>
        <condense val="0"/>
        <extend val="0"/>
        <outline val="0"/>
        <shadow val="0"/>
        <u val="none"/>
        <vertAlign val="baseline"/>
        <sz val="11"/>
        <color theme="1"/>
        <name val="Calibri"/>
        <family val="2"/>
        <scheme val="minor"/>
      </font>
    </dxf>
    <dxf>
      <numFmt numFmtId="26" formatCode="hh:mm:ss"/>
    </dxf>
    <dxf>
      <numFmt numFmtId="26" formatCode="hh:mm:ss"/>
    </dxf>
    <dxf>
      <numFmt numFmtId="14" formatCode="0.00%"/>
    </dxf>
    <dxf>
      <numFmt numFmtId="3" formatCode="#,##0"/>
    </dxf>
    <dxf>
      <numFmt numFmtId="19" formatCode="dd/mm/yyyy"/>
    </dxf>
    <dxf>
      <font>
        <color theme="0"/>
      </font>
      <border>
        <bottom style="thin">
          <color theme="9"/>
        </bottom>
        <vertical/>
        <horizontal/>
      </border>
    </dxf>
    <dxf>
      <font>
        <color theme="0"/>
      </font>
      <fill>
        <patternFill>
          <bgColor theme="1" tint="0.14996795556505021"/>
        </patternFill>
      </fill>
      <border diagonalUp="0" diagonalDown="0">
        <left/>
        <right/>
        <top/>
        <bottom/>
        <vertical/>
        <horizontal/>
      </border>
    </dxf>
    <dxf>
      <font>
        <b/>
        <sz val="11"/>
        <color theme="1"/>
      </font>
      <border>
        <vertical/>
        <horizontal/>
      </border>
    </dxf>
    <dxf>
      <font>
        <b/>
        <i val="0"/>
        <sz val="14"/>
        <color theme="0"/>
        <name val="Calibri Light"/>
        <family val="2"/>
        <scheme val="major"/>
      </font>
      <fill>
        <patternFill patternType="solid">
          <bgColor theme="1" tint="0.14996795556505021"/>
        </patternFill>
      </fill>
      <border diagonalUp="0" diagonalDown="0">
        <left/>
        <right/>
        <top/>
        <bottom/>
        <vertical/>
        <horizontal/>
      </border>
    </dxf>
  </dxfs>
  <tableStyles count="3" defaultTableStyle="TableStyleMedium2" defaultPivotStyle="PivotStyleLight16">
    <tableStyle name="New" pivot="0" table="0" count="9" xr9:uid="{D30F31AA-9E5F-493E-B4BA-53DABB8FC205}">
      <tableStyleElement type="wholeTable" dxfId="235"/>
      <tableStyleElement type="headerRow" dxfId="234"/>
    </tableStyle>
    <tableStyle name="SlicerStyleDark6 2" pivot="0" table="0" count="10" xr9:uid="{BDA7273E-9BA8-424D-8A5B-6CFA08C21A3C}">
      <tableStyleElement type="wholeTable" dxfId="233"/>
      <tableStyleElement type="headerRow" dxfId="232"/>
    </tableStyle>
    <tableStyle name="Timeline Style 1" pivot="0" table="0" count="8" xr9:uid="{E4DFE768-306C-47A0-BBCE-1F7D69890F16}">
      <tableStyleElement type="wholeTable" dxfId="190"/>
      <tableStyleElement type="headerRow" dxfId="18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9">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0"/>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6" tint="0.39997558519241921"/>
              <bgColor theme="6"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patternFill patternType="solid">
              <fgColor auto="1"/>
              <bgColor theme="5"/>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6"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New">
          <x15:timelineStyleElements>
            <x15:timelineStyleElement type="selectionLabel" dxfId="18"/>
            <x15:timelineStyleElement type="timeLevel" dxfId="17"/>
            <x15:timelineStyleElement type="periodLabel1" dxfId="16"/>
            <x15:timelineStyleElement type="periodLabel2" dxfId="15"/>
            <x15:timelineStyleElement type="selectedTimeBlock" dxfId="14"/>
            <x15:timelineStyleElement type="unselectedTimeBlock" dxfId="13"/>
            <x15:timelineStyleElement type="selectedTimeBlockSpace" dxfId="12"/>
          </x15:timelineStyleElements>
        </x15:timelineStyle>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pivotCacheDefinition" Target="pivotCache/pivotCacheDefinition17.xml"/><Relationship Id="rId34" Type="http://schemas.openxmlformats.org/officeDocument/2006/relationships/calcChain" Target="calcChain.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pivotCacheDefinition" Target="pivotCache/pivotCacheDefinition16.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20.xml"/><Relationship Id="rId32"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microsoft.com/office/2011/relationships/timelineCache" Target="timelineCaches/timelineCache1.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openxmlformats.org/officeDocument/2006/relationships/pivotCacheDefinition" Target="pivotCache/pivotCacheDefinition22.xml"/><Relationship Id="rId30" Type="http://schemas.openxmlformats.org/officeDocument/2006/relationships/connections" Target="connections.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 Analytic_Dataset.xlsx]Pivot Table!PivotTable11</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7"/>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8"/>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9"/>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1"/>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2"/>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3"/>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4"/>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5"/>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7"/>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8"/>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19"/>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2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21"/>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22"/>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23"/>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48"/>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5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51"/>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52"/>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53"/>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54"/>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55"/>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56"/>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57"/>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58"/>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59"/>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6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61"/>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62"/>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63"/>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64"/>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65"/>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66"/>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67"/>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68"/>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69"/>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7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71"/>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s>
    <c:plotArea>
      <c:layout>
        <c:manualLayout>
          <c:layoutTarget val="inner"/>
          <c:xMode val="edge"/>
          <c:yMode val="edge"/>
          <c:x val="7.7420839106982053E-2"/>
          <c:y val="6.1728395061728392E-2"/>
          <c:w val="0.67388713868582151"/>
          <c:h val="0.86419753086419748"/>
        </c:manualLayout>
      </c:layout>
      <c:pieChart>
        <c:varyColors val="1"/>
        <c:ser>
          <c:idx val="0"/>
          <c:order val="0"/>
          <c:tx>
            <c:strRef>
              <c:f>'Pivot Table'!$H$5</c:f>
              <c:strCache>
                <c:ptCount val="1"/>
                <c:pt idx="0">
                  <c:v>Total</c:v>
                </c:pt>
              </c:strCache>
            </c:strRef>
          </c:tx>
          <c:dPt>
            <c:idx val="0"/>
            <c:bubble3D val="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Pt>
          <c:dPt>
            <c:idx val="1"/>
            <c:bubble3D val="0"/>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Pt>
          <c:dPt>
            <c:idx val="2"/>
            <c:bubble3D val="0"/>
            <c:spPr>
              <a:gradFill rotWithShape="1">
                <a:gsLst>
                  <a:gs pos="0">
                    <a:schemeClr val="accent3">
                      <a:tint val="73000"/>
                      <a:shade val="100000"/>
                      <a:satMod val="150000"/>
                    </a:schemeClr>
                  </a:gs>
                  <a:gs pos="25000">
                    <a:schemeClr val="accent3">
                      <a:tint val="96000"/>
                      <a:shade val="80000"/>
                      <a:satMod val="105000"/>
                    </a:schemeClr>
                  </a:gs>
                  <a:gs pos="38000">
                    <a:schemeClr val="accent3">
                      <a:tint val="96000"/>
                      <a:shade val="59000"/>
                      <a:satMod val="120000"/>
                    </a:schemeClr>
                  </a:gs>
                  <a:gs pos="55000">
                    <a:schemeClr val="accent3">
                      <a:tint val="100000"/>
                      <a:shade val="57000"/>
                      <a:satMod val="120000"/>
                    </a:schemeClr>
                  </a:gs>
                  <a:gs pos="80000">
                    <a:schemeClr val="accent3">
                      <a:tint val="100000"/>
                      <a:shade val="56000"/>
                      <a:satMod val="145000"/>
                    </a:schemeClr>
                  </a:gs>
                  <a:gs pos="88000">
                    <a:schemeClr val="accent3">
                      <a:tint val="100000"/>
                      <a:shade val="63000"/>
                      <a:satMod val="160000"/>
                    </a:schemeClr>
                  </a:gs>
                  <a:gs pos="100000">
                    <a:schemeClr val="accent3">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Pt>
          <c:dPt>
            <c:idx val="3"/>
            <c:bubble3D val="0"/>
            <c:spPr>
              <a:gradFill rotWithShape="1">
                <a:gsLst>
                  <a:gs pos="0">
                    <a:schemeClr val="accent4">
                      <a:tint val="73000"/>
                      <a:shade val="100000"/>
                      <a:satMod val="150000"/>
                    </a:schemeClr>
                  </a:gs>
                  <a:gs pos="25000">
                    <a:schemeClr val="accent4">
                      <a:tint val="96000"/>
                      <a:shade val="80000"/>
                      <a:satMod val="105000"/>
                    </a:schemeClr>
                  </a:gs>
                  <a:gs pos="38000">
                    <a:schemeClr val="accent4">
                      <a:tint val="96000"/>
                      <a:shade val="59000"/>
                      <a:satMod val="120000"/>
                    </a:schemeClr>
                  </a:gs>
                  <a:gs pos="55000">
                    <a:schemeClr val="accent4">
                      <a:tint val="100000"/>
                      <a:shade val="57000"/>
                      <a:satMod val="120000"/>
                    </a:schemeClr>
                  </a:gs>
                  <a:gs pos="80000">
                    <a:schemeClr val="accent4">
                      <a:tint val="100000"/>
                      <a:shade val="56000"/>
                      <a:satMod val="145000"/>
                    </a:schemeClr>
                  </a:gs>
                  <a:gs pos="88000">
                    <a:schemeClr val="accent4">
                      <a:tint val="100000"/>
                      <a:shade val="63000"/>
                      <a:satMod val="160000"/>
                    </a:schemeClr>
                  </a:gs>
                  <a:gs pos="100000">
                    <a:schemeClr val="accent4">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Pt>
          <c:dPt>
            <c:idx val="4"/>
            <c:bubble3D val="0"/>
            <c:spPr>
              <a:gradFill rotWithShape="1">
                <a:gsLst>
                  <a:gs pos="0">
                    <a:schemeClr val="accent5">
                      <a:tint val="73000"/>
                      <a:shade val="100000"/>
                      <a:satMod val="150000"/>
                    </a:schemeClr>
                  </a:gs>
                  <a:gs pos="25000">
                    <a:schemeClr val="accent5">
                      <a:tint val="96000"/>
                      <a:shade val="80000"/>
                      <a:satMod val="105000"/>
                    </a:schemeClr>
                  </a:gs>
                  <a:gs pos="38000">
                    <a:schemeClr val="accent5">
                      <a:tint val="96000"/>
                      <a:shade val="59000"/>
                      <a:satMod val="120000"/>
                    </a:schemeClr>
                  </a:gs>
                  <a:gs pos="55000">
                    <a:schemeClr val="accent5">
                      <a:tint val="100000"/>
                      <a:shade val="57000"/>
                      <a:satMod val="120000"/>
                    </a:schemeClr>
                  </a:gs>
                  <a:gs pos="80000">
                    <a:schemeClr val="accent5">
                      <a:tint val="100000"/>
                      <a:shade val="56000"/>
                      <a:satMod val="145000"/>
                    </a:schemeClr>
                  </a:gs>
                  <a:gs pos="88000">
                    <a:schemeClr val="accent5">
                      <a:tint val="100000"/>
                      <a:shade val="63000"/>
                      <a:satMod val="160000"/>
                    </a:schemeClr>
                  </a:gs>
                  <a:gs pos="100000">
                    <a:schemeClr val="accent5">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Pt>
          <c:dPt>
            <c:idx val="5"/>
            <c:bubble3D val="0"/>
            <c:spPr>
              <a:gradFill rotWithShape="1">
                <a:gsLst>
                  <a:gs pos="0">
                    <a:schemeClr val="accent6">
                      <a:tint val="73000"/>
                      <a:shade val="100000"/>
                      <a:satMod val="150000"/>
                    </a:schemeClr>
                  </a:gs>
                  <a:gs pos="25000">
                    <a:schemeClr val="accent6">
                      <a:tint val="96000"/>
                      <a:shade val="80000"/>
                      <a:satMod val="105000"/>
                    </a:schemeClr>
                  </a:gs>
                  <a:gs pos="38000">
                    <a:schemeClr val="accent6">
                      <a:tint val="96000"/>
                      <a:shade val="59000"/>
                      <a:satMod val="120000"/>
                    </a:schemeClr>
                  </a:gs>
                  <a:gs pos="55000">
                    <a:schemeClr val="accent6">
                      <a:tint val="100000"/>
                      <a:shade val="57000"/>
                      <a:satMod val="120000"/>
                    </a:schemeClr>
                  </a:gs>
                  <a:gs pos="80000">
                    <a:schemeClr val="accent6">
                      <a:tint val="100000"/>
                      <a:shade val="56000"/>
                      <a:satMod val="145000"/>
                    </a:schemeClr>
                  </a:gs>
                  <a:gs pos="88000">
                    <a:schemeClr val="accent6">
                      <a:tint val="100000"/>
                      <a:shade val="63000"/>
                      <a:satMod val="160000"/>
                    </a:schemeClr>
                  </a:gs>
                  <a:gs pos="100000">
                    <a:schemeClr val="accent6">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Pt>
          <c:dPt>
            <c:idx val="6"/>
            <c:bubble3D val="0"/>
            <c:spPr>
              <a:gradFill rotWithShape="1">
                <a:gsLst>
                  <a:gs pos="0">
                    <a:schemeClr val="accent1">
                      <a:lumMod val="60000"/>
                      <a:tint val="73000"/>
                      <a:shade val="100000"/>
                      <a:satMod val="150000"/>
                    </a:schemeClr>
                  </a:gs>
                  <a:gs pos="25000">
                    <a:schemeClr val="accent1">
                      <a:lumMod val="60000"/>
                      <a:tint val="96000"/>
                      <a:shade val="80000"/>
                      <a:satMod val="105000"/>
                    </a:schemeClr>
                  </a:gs>
                  <a:gs pos="38000">
                    <a:schemeClr val="accent1">
                      <a:lumMod val="60000"/>
                      <a:tint val="96000"/>
                      <a:shade val="59000"/>
                      <a:satMod val="120000"/>
                    </a:schemeClr>
                  </a:gs>
                  <a:gs pos="55000">
                    <a:schemeClr val="accent1">
                      <a:lumMod val="60000"/>
                      <a:tint val="100000"/>
                      <a:shade val="57000"/>
                      <a:satMod val="120000"/>
                    </a:schemeClr>
                  </a:gs>
                  <a:gs pos="80000">
                    <a:schemeClr val="accent1">
                      <a:lumMod val="60000"/>
                      <a:tint val="100000"/>
                      <a:shade val="56000"/>
                      <a:satMod val="145000"/>
                    </a:schemeClr>
                  </a:gs>
                  <a:gs pos="88000">
                    <a:schemeClr val="accent1">
                      <a:lumMod val="60000"/>
                      <a:tint val="100000"/>
                      <a:shade val="63000"/>
                      <a:satMod val="160000"/>
                    </a:schemeClr>
                  </a:gs>
                  <a:gs pos="100000">
                    <a:schemeClr val="accent1">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Pt>
          <c:dPt>
            <c:idx val="7"/>
            <c:bubble3D val="0"/>
            <c:spPr>
              <a:gradFill rotWithShape="1">
                <a:gsLst>
                  <a:gs pos="0">
                    <a:schemeClr val="accent2">
                      <a:lumMod val="60000"/>
                      <a:tint val="73000"/>
                      <a:shade val="100000"/>
                      <a:satMod val="150000"/>
                    </a:schemeClr>
                  </a:gs>
                  <a:gs pos="25000">
                    <a:schemeClr val="accent2">
                      <a:lumMod val="60000"/>
                      <a:tint val="96000"/>
                      <a:shade val="80000"/>
                      <a:satMod val="105000"/>
                    </a:schemeClr>
                  </a:gs>
                  <a:gs pos="38000">
                    <a:schemeClr val="accent2">
                      <a:lumMod val="60000"/>
                      <a:tint val="96000"/>
                      <a:shade val="59000"/>
                      <a:satMod val="120000"/>
                    </a:schemeClr>
                  </a:gs>
                  <a:gs pos="55000">
                    <a:schemeClr val="accent2">
                      <a:lumMod val="60000"/>
                      <a:tint val="100000"/>
                      <a:shade val="57000"/>
                      <a:satMod val="120000"/>
                    </a:schemeClr>
                  </a:gs>
                  <a:gs pos="80000">
                    <a:schemeClr val="accent2">
                      <a:lumMod val="60000"/>
                      <a:tint val="100000"/>
                      <a:shade val="56000"/>
                      <a:satMod val="145000"/>
                    </a:schemeClr>
                  </a:gs>
                  <a:gs pos="88000">
                    <a:schemeClr val="accent2">
                      <a:lumMod val="60000"/>
                      <a:tint val="100000"/>
                      <a:shade val="63000"/>
                      <a:satMod val="160000"/>
                    </a:schemeClr>
                  </a:gs>
                  <a:gs pos="100000">
                    <a:schemeClr val="accent2">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Pt>
          <c:dPt>
            <c:idx val="8"/>
            <c:bubble3D val="0"/>
            <c:spPr>
              <a:gradFill rotWithShape="1">
                <a:gsLst>
                  <a:gs pos="0">
                    <a:schemeClr val="accent3">
                      <a:lumMod val="60000"/>
                      <a:tint val="73000"/>
                      <a:shade val="100000"/>
                      <a:satMod val="150000"/>
                    </a:schemeClr>
                  </a:gs>
                  <a:gs pos="25000">
                    <a:schemeClr val="accent3">
                      <a:lumMod val="60000"/>
                      <a:tint val="96000"/>
                      <a:shade val="80000"/>
                      <a:satMod val="105000"/>
                    </a:schemeClr>
                  </a:gs>
                  <a:gs pos="38000">
                    <a:schemeClr val="accent3">
                      <a:lumMod val="60000"/>
                      <a:tint val="96000"/>
                      <a:shade val="59000"/>
                      <a:satMod val="120000"/>
                    </a:schemeClr>
                  </a:gs>
                  <a:gs pos="55000">
                    <a:schemeClr val="accent3">
                      <a:lumMod val="60000"/>
                      <a:tint val="100000"/>
                      <a:shade val="57000"/>
                      <a:satMod val="120000"/>
                    </a:schemeClr>
                  </a:gs>
                  <a:gs pos="80000">
                    <a:schemeClr val="accent3">
                      <a:lumMod val="60000"/>
                      <a:tint val="100000"/>
                      <a:shade val="56000"/>
                      <a:satMod val="145000"/>
                    </a:schemeClr>
                  </a:gs>
                  <a:gs pos="88000">
                    <a:schemeClr val="accent3">
                      <a:lumMod val="60000"/>
                      <a:tint val="100000"/>
                      <a:shade val="63000"/>
                      <a:satMod val="160000"/>
                    </a:schemeClr>
                  </a:gs>
                  <a:gs pos="100000">
                    <a:schemeClr val="accent3">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Pt>
          <c:dPt>
            <c:idx val="9"/>
            <c:bubble3D val="0"/>
            <c:spPr>
              <a:gradFill rotWithShape="1">
                <a:gsLst>
                  <a:gs pos="0">
                    <a:schemeClr val="accent4">
                      <a:lumMod val="60000"/>
                      <a:tint val="73000"/>
                      <a:shade val="100000"/>
                      <a:satMod val="150000"/>
                    </a:schemeClr>
                  </a:gs>
                  <a:gs pos="25000">
                    <a:schemeClr val="accent4">
                      <a:lumMod val="60000"/>
                      <a:tint val="96000"/>
                      <a:shade val="80000"/>
                      <a:satMod val="105000"/>
                    </a:schemeClr>
                  </a:gs>
                  <a:gs pos="38000">
                    <a:schemeClr val="accent4">
                      <a:lumMod val="60000"/>
                      <a:tint val="96000"/>
                      <a:shade val="59000"/>
                      <a:satMod val="120000"/>
                    </a:schemeClr>
                  </a:gs>
                  <a:gs pos="55000">
                    <a:schemeClr val="accent4">
                      <a:lumMod val="60000"/>
                      <a:tint val="100000"/>
                      <a:shade val="57000"/>
                      <a:satMod val="120000"/>
                    </a:schemeClr>
                  </a:gs>
                  <a:gs pos="80000">
                    <a:schemeClr val="accent4">
                      <a:lumMod val="60000"/>
                      <a:tint val="100000"/>
                      <a:shade val="56000"/>
                      <a:satMod val="145000"/>
                    </a:schemeClr>
                  </a:gs>
                  <a:gs pos="88000">
                    <a:schemeClr val="accent4">
                      <a:lumMod val="60000"/>
                      <a:tint val="100000"/>
                      <a:shade val="63000"/>
                      <a:satMod val="160000"/>
                    </a:schemeClr>
                  </a:gs>
                  <a:gs pos="100000">
                    <a:schemeClr val="accent4">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Pt>
          <c:dPt>
            <c:idx val="10"/>
            <c:bubble3D val="0"/>
            <c:spPr>
              <a:gradFill rotWithShape="1">
                <a:gsLst>
                  <a:gs pos="0">
                    <a:schemeClr val="accent5">
                      <a:lumMod val="60000"/>
                      <a:tint val="73000"/>
                      <a:shade val="100000"/>
                      <a:satMod val="150000"/>
                    </a:schemeClr>
                  </a:gs>
                  <a:gs pos="25000">
                    <a:schemeClr val="accent5">
                      <a:lumMod val="60000"/>
                      <a:tint val="96000"/>
                      <a:shade val="80000"/>
                      <a:satMod val="105000"/>
                    </a:schemeClr>
                  </a:gs>
                  <a:gs pos="38000">
                    <a:schemeClr val="accent5">
                      <a:lumMod val="60000"/>
                      <a:tint val="96000"/>
                      <a:shade val="59000"/>
                      <a:satMod val="120000"/>
                    </a:schemeClr>
                  </a:gs>
                  <a:gs pos="55000">
                    <a:schemeClr val="accent5">
                      <a:lumMod val="60000"/>
                      <a:tint val="100000"/>
                      <a:shade val="57000"/>
                      <a:satMod val="120000"/>
                    </a:schemeClr>
                  </a:gs>
                  <a:gs pos="80000">
                    <a:schemeClr val="accent5">
                      <a:lumMod val="60000"/>
                      <a:tint val="100000"/>
                      <a:shade val="56000"/>
                      <a:satMod val="145000"/>
                    </a:schemeClr>
                  </a:gs>
                  <a:gs pos="88000">
                    <a:schemeClr val="accent5">
                      <a:lumMod val="60000"/>
                      <a:tint val="100000"/>
                      <a:shade val="63000"/>
                      <a:satMod val="160000"/>
                    </a:schemeClr>
                  </a:gs>
                  <a:gs pos="100000">
                    <a:schemeClr val="accent5">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Pt>
          <c:dPt>
            <c:idx val="11"/>
            <c:bubble3D val="0"/>
            <c:spPr>
              <a:gradFill rotWithShape="1">
                <a:gsLst>
                  <a:gs pos="0">
                    <a:schemeClr val="accent6">
                      <a:lumMod val="60000"/>
                      <a:tint val="73000"/>
                      <a:shade val="100000"/>
                      <a:satMod val="150000"/>
                    </a:schemeClr>
                  </a:gs>
                  <a:gs pos="25000">
                    <a:schemeClr val="accent6">
                      <a:lumMod val="60000"/>
                      <a:tint val="96000"/>
                      <a:shade val="80000"/>
                      <a:satMod val="105000"/>
                    </a:schemeClr>
                  </a:gs>
                  <a:gs pos="38000">
                    <a:schemeClr val="accent6">
                      <a:lumMod val="60000"/>
                      <a:tint val="96000"/>
                      <a:shade val="59000"/>
                      <a:satMod val="120000"/>
                    </a:schemeClr>
                  </a:gs>
                  <a:gs pos="55000">
                    <a:schemeClr val="accent6">
                      <a:lumMod val="60000"/>
                      <a:tint val="100000"/>
                      <a:shade val="57000"/>
                      <a:satMod val="120000"/>
                    </a:schemeClr>
                  </a:gs>
                  <a:gs pos="80000">
                    <a:schemeClr val="accent6">
                      <a:lumMod val="60000"/>
                      <a:tint val="100000"/>
                      <a:shade val="56000"/>
                      <a:satMod val="145000"/>
                    </a:schemeClr>
                  </a:gs>
                  <a:gs pos="88000">
                    <a:schemeClr val="accent6">
                      <a:lumMod val="60000"/>
                      <a:tint val="100000"/>
                      <a:shade val="63000"/>
                      <a:satMod val="160000"/>
                    </a:schemeClr>
                  </a:gs>
                  <a:gs pos="100000">
                    <a:schemeClr val="accent6">
                      <a:lumMod val="6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Pt>
          <c:dPt>
            <c:idx val="12"/>
            <c:bubble3D val="0"/>
            <c:spPr>
              <a:gradFill rotWithShape="1">
                <a:gsLst>
                  <a:gs pos="0">
                    <a:schemeClr val="accent1">
                      <a:lumMod val="80000"/>
                      <a:lumOff val="20000"/>
                      <a:tint val="73000"/>
                      <a:shade val="100000"/>
                      <a:satMod val="150000"/>
                    </a:schemeClr>
                  </a:gs>
                  <a:gs pos="25000">
                    <a:schemeClr val="accent1">
                      <a:lumMod val="80000"/>
                      <a:lumOff val="20000"/>
                      <a:tint val="96000"/>
                      <a:shade val="80000"/>
                      <a:satMod val="105000"/>
                    </a:schemeClr>
                  </a:gs>
                  <a:gs pos="38000">
                    <a:schemeClr val="accent1">
                      <a:lumMod val="80000"/>
                      <a:lumOff val="20000"/>
                      <a:tint val="96000"/>
                      <a:shade val="59000"/>
                      <a:satMod val="120000"/>
                    </a:schemeClr>
                  </a:gs>
                  <a:gs pos="55000">
                    <a:schemeClr val="accent1">
                      <a:lumMod val="80000"/>
                      <a:lumOff val="20000"/>
                      <a:tint val="100000"/>
                      <a:shade val="57000"/>
                      <a:satMod val="120000"/>
                    </a:schemeClr>
                  </a:gs>
                  <a:gs pos="80000">
                    <a:schemeClr val="accent1">
                      <a:lumMod val="80000"/>
                      <a:lumOff val="20000"/>
                      <a:tint val="100000"/>
                      <a:shade val="56000"/>
                      <a:satMod val="145000"/>
                    </a:schemeClr>
                  </a:gs>
                  <a:gs pos="88000">
                    <a:schemeClr val="accent1">
                      <a:lumMod val="80000"/>
                      <a:lumOff val="20000"/>
                      <a:tint val="100000"/>
                      <a:shade val="63000"/>
                      <a:satMod val="160000"/>
                    </a:schemeClr>
                  </a:gs>
                  <a:gs pos="100000">
                    <a:schemeClr val="accent1">
                      <a:lumMod val="80000"/>
                      <a:lumOff val="2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Pt>
          <c:dPt>
            <c:idx val="13"/>
            <c:bubble3D val="0"/>
            <c:spPr>
              <a:gradFill rotWithShape="1">
                <a:gsLst>
                  <a:gs pos="0">
                    <a:schemeClr val="accent2">
                      <a:lumMod val="80000"/>
                      <a:lumOff val="20000"/>
                      <a:tint val="73000"/>
                      <a:shade val="100000"/>
                      <a:satMod val="150000"/>
                    </a:schemeClr>
                  </a:gs>
                  <a:gs pos="25000">
                    <a:schemeClr val="accent2">
                      <a:lumMod val="80000"/>
                      <a:lumOff val="20000"/>
                      <a:tint val="96000"/>
                      <a:shade val="80000"/>
                      <a:satMod val="105000"/>
                    </a:schemeClr>
                  </a:gs>
                  <a:gs pos="38000">
                    <a:schemeClr val="accent2">
                      <a:lumMod val="80000"/>
                      <a:lumOff val="20000"/>
                      <a:tint val="96000"/>
                      <a:shade val="59000"/>
                      <a:satMod val="120000"/>
                    </a:schemeClr>
                  </a:gs>
                  <a:gs pos="55000">
                    <a:schemeClr val="accent2">
                      <a:lumMod val="80000"/>
                      <a:lumOff val="20000"/>
                      <a:tint val="100000"/>
                      <a:shade val="57000"/>
                      <a:satMod val="120000"/>
                    </a:schemeClr>
                  </a:gs>
                  <a:gs pos="80000">
                    <a:schemeClr val="accent2">
                      <a:lumMod val="80000"/>
                      <a:lumOff val="20000"/>
                      <a:tint val="100000"/>
                      <a:shade val="56000"/>
                      <a:satMod val="145000"/>
                    </a:schemeClr>
                  </a:gs>
                  <a:gs pos="88000">
                    <a:schemeClr val="accent2">
                      <a:lumMod val="80000"/>
                      <a:lumOff val="20000"/>
                      <a:tint val="100000"/>
                      <a:shade val="63000"/>
                      <a:satMod val="160000"/>
                    </a:schemeClr>
                  </a:gs>
                  <a:gs pos="100000">
                    <a:schemeClr val="accent2">
                      <a:lumMod val="80000"/>
                      <a:lumOff val="2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Pt>
          <c:dPt>
            <c:idx val="14"/>
            <c:bubble3D val="0"/>
            <c:spPr>
              <a:gradFill rotWithShape="1">
                <a:gsLst>
                  <a:gs pos="0">
                    <a:schemeClr val="accent3">
                      <a:lumMod val="80000"/>
                      <a:lumOff val="20000"/>
                      <a:tint val="73000"/>
                      <a:shade val="100000"/>
                      <a:satMod val="150000"/>
                    </a:schemeClr>
                  </a:gs>
                  <a:gs pos="25000">
                    <a:schemeClr val="accent3">
                      <a:lumMod val="80000"/>
                      <a:lumOff val="20000"/>
                      <a:tint val="96000"/>
                      <a:shade val="80000"/>
                      <a:satMod val="105000"/>
                    </a:schemeClr>
                  </a:gs>
                  <a:gs pos="38000">
                    <a:schemeClr val="accent3">
                      <a:lumMod val="80000"/>
                      <a:lumOff val="20000"/>
                      <a:tint val="96000"/>
                      <a:shade val="59000"/>
                      <a:satMod val="120000"/>
                    </a:schemeClr>
                  </a:gs>
                  <a:gs pos="55000">
                    <a:schemeClr val="accent3">
                      <a:lumMod val="80000"/>
                      <a:lumOff val="20000"/>
                      <a:tint val="100000"/>
                      <a:shade val="57000"/>
                      <a:satMod val="120000"/>
                    </a:schemeClr>
                  </a:gs>
                  <a:gs pos="80000">
                    <a:schemeClr val="accent3">
                      <a:lumMod val="80000"/>
                      <a:lumOff val="20000"/>
                      <a:tint val="100000"/>
                      <a:shade val="56000"/>
                      <a:satMod val="145000"/>
                    </a:schemeClr>
                  </a:gs>
                  <a:gs pos="88000">
                    <a:schemeClr val="accent3">
                      <a:lumMod val="80000"/>
                      <a:lumOff val="20000"/>
                      <a:tint val="100000"/>
                      <a:shade val="63000"/>
                      <a:satMod val="160000"/>
                    </a:schemeClr>
                  </a:gs>
                  <a:gs pos="100000">
                    <a:schemeClr val="accent3">
                      <a:lumMod val="80000"/>
                      <a:lumOff val="2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Pt>
          <c:dPt>
            <c:idx val="15"/>
            <c:bubble3D val="0"/>
            <c:spPr>
              <a:gradFill rotWithShape="1">
                <a:gsLst>
                  <a:gs pos="0">
                    <a:schemeClr val="accent4">
                      <a:lumMod val="80000"/>
                      <a:lumOff val="20000"/>
                      <a:tint val="73000"/>
                      <a:shade val="100000"/>
                      <a:satMod val="150000"/>
                    </a:schemeClr>
                  </a:gs>
                  <a:gs pos="25000">
                    <a:schemeClr val="accent4">
                      <a:lumMod val="80000"/>
                      <a:lumOff val="20000"/>
                      <a:tint val="96000"/>
                      <a:shade val="80000"/>
                      <a:satMod val="105000"/>
                    </a:schemeClr>
                  </a:gs>
                  <a:gs pos="38000">
                    <a:schemeClr val="accent4">
                      <a:lumMod val="80000"/>
                      <a:lumOff val="20000"/>
                      <a:tint val="96000"/>
                      <a:shade val="59000"/>
                      <a:satMod val="120000"/>
                    </a:schemeClr>
                  </a:gs>
                  <a:gs pos="55000">
                    <a:schemeClr val="accent4">
                      <a:lumMod val="80000"/>
                      <a:lumOff val="20000"/>
                      <a:tint val="100000"/>
                      <a:shade val="57000"/>
                      <a:satMod val="120000"/>
                    </a:schemeClr>
                  </a:gs>
                  <a:gs pos="80000">
                    <a:schemeClr val="accent4">
                      <a:lumMod val="80000"/>
                      <a:lumOff val="20000"/>
                      <a:tint val="100000"/>
                      <a:shade val="56000"/>
                      <a:satMod val="145000"/>
                    </a:schemeClr>
                  </a:gs>
                  <a:gs pos="88000">
                    <a:schemeClr val="accent4">
                      <a:lumMod val="80000"/>
                      <a:lumOff val="20000"/>
                      <a:tint val="100000"/>
                      <a:shade val="63000"/>
                      <a:satMod val="160000"/>
                    </a:schemeClr>
                  </a:gs>
                  <a:gs pos="100000">
                    <a:schemeClr val="accent4">
                      <a:lumMod val="80000"/>
                      <a:lumOff val="2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Pt>
          <c:dPt>
            <c:idx val="16"/>
            <c:bubble3D val="0"/>
            <c:spPr>
              <a:gradFill rotWithShape="1">
                <a:gsLst>
                  <a:gs pos="0">
                    <a:schemeClr val="accent5">
                      <a:lumMod val="80000"/>
                      <a:lumOff val="20000"/>
                      <a:tint val="73000"/>
                      <a:shade val="100000"/>
                      <a:satMod val="150000"/>
                    </a:schemeClr>
                  </a:gs>
                  <a:gs pos="25000">
                    <a:schemeClr val="accent5">
                      <a:lumMod val="80000"/>
                      <a:lumOff val="20000"/>
                      <a:tint val="96000"/>
                      <a:shade val="80000"/>
                      <a:satMod val="105000"/>
                    </a:schemeClr>
                  </a:gs>
                  <a:gs pos="38000">
                    <a:schemeClr val="accent5">
                      <a:lumMod val="80000"/>
                      <a:lumOff val="20000"/>
                      <a:tint val="96000"/>
                      <a:shade val="59000"/>
                      <a:satMod val="120000"/>
                    </a:schemeClr>
                  </a:gs>
                  <a:gs pos="55000">
                    <a:schemeClr val="accent5">
                      <a:lumMod val="80000"/>
                      <a:lumOff val="20000"/>
                      <a:tint val="100000"/>
                      <a:shade val="57000"/>
                      <a:satMod val="120000"/>
                    </a:schemeClr>
                  </a:gs>
                  <a:gs pos="80000">
                    <a:schemeClr val="accent5">
                      <a:lumMod val="80000"/>
                      <a:lumOff val="20000"/>
                      <a:tint val="100000"/>
                      <a:shade val="56000"/>
                      <a:satMod val="145000"/>
                    </a:schemeClr>
                  </a:gs>
                  <a:gs pos="88000">
                    <a:schemeClr val="accent5">
                      <a:lumMod val="80000"/>
                      <a:lumOff val="20000"/>
                      <a:tint val="100000"/>
                      <a:shade val="63000"/>
                      <a:satMod val="160000"/>
                    </a:schemeClr>
                  </a:gs>
                  <a:gs pos="100000">
                    <a:schemeClr val="accent5">
                      <a:lumMod val="80000"/>
                      <a:lumOff val="2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Pt>
          <c:dPt>
            <c:idx val="17"/>
            <c:bubble3D val="0"/>
            <c:spPr>
              <a:gradFill rotWithShape="1">
                <a:gsLst>
                  <a:gs pos="0">
                    <a:schemeClr val="accent6">
                      <a:lumMod val="80000"/>
                      <a:lumOff val="20000"/>
                      <a:tint val="73000"/>
                      <a:shade val="100000"/>
                      <a:satMod val="150000"/>
                    </a:schemeClr>
                  </a:gs>
                  <a:gs pos="25000">
                    <a:schemeClr val="accent6">
                      <a:lumMod val="80000"/>
                      <a:lumOff val="20000"/>
                      <a:tint val="96000"/>
                      <a:shade val="80000"/>
                      <a:satMod val="105000"/>
                    </a:schemeClr>
                  </a:gs>
                  <a:gs pos="38000">
                    <a:schemeClr val="accent6">
                      <a:lumMod val="80000"/>
                      <a:lumOff val="20000"/>
                      <a:tint val="96000"/>
                      <a:shade val="59000"/>
                      <a:satMod val="120000"/>
                    </a:schemeClr>
                  </a:gs>
                  <a:gs pos="55000">
                    <a:schemeClr val="accent6">
                      <a:lumMod val="80000"/>
                      <a:lumOff val="20000"/>
                      <a:tint val="100000"/>
                      <a:shade val="57000"/>
                      <a:satMod val="120000"/>
                    </a:schemeClr>
                  </a:gs>
                  <a:gs pos="80000">
                    <a:schemeClr val="accent6">
                      <a:lumMod val="80000"/>
                      <a:lumOff val="20000"/>
                      <a:tint val="100000"/>
                      <a:shade val="56000"/>
                      <a:satMod val="145000"/>
                    </a:schemeClr>
                  </a:gs>
                  <a:gs pos="88000">
                    <a:schemeClr val="accent6">
                      <a:lumMod val="80000"/>
                      <a:lumOff val="20000"/>
                      <a:tint val="100000"/>
                      <a:shade val="63000"/>
                      <a:satMod val="160000"/>
                    </a:schemeClr>
                  </a:gs>
                  <a:gs pos="100000">
                    <a:schemeClr val="accent6">
                      <a:lumMod val="80000"/>
                      <a:lumOff val="2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Pt>
          <c:dPt>
            <c:idx val="18"/>
            <c:bubble3D val="0"/>
            <c:spPr>
              <a:gradFill rotWithShape="1">
                <a:gsLst>
                  <a:gs pos="0">
                    <a:schemeClr val="accent1">
                      <a:lumMod val="80000"/>
                      <a:tint val="73000"/>
                      <a:shade val="100000"/>
                      <a:satMod val="150000"/>
                    </a:schemeClr>
                  </a:gs>
                  <a:gs pos="25000">
                    <a:schemeClr val="accent1">
                      <a:lumMod val="80000"/>
                      <a:tint val="96000"/>
                      <a:shade val="80000"/>
                      <a:satMod val="105000"/>
                    </a:schemeClr>
                  </a:gs>
                  <a:gs pos="38000">
                    <a:schemeClr val="accent1">
                      <a:lumMod val="80000"/>
                      <a:tint val="96000"/>
                      <a:shade val="59000"/>
                      <a:satMod val="120000"/>
                    </a:schemeClr>
                  </a:gs>
                  <a:gs pos="55000">
                    <a:schemeClr val="accent1">
                      <a:lumMod val="80000"/>
                      <a:tint val="100000"/>
                      <a:shade val="57000"/>
                      <a:satMod val="120000"/>
                    </a:schemeClr>
                  </a:gs>
                  <a:gs pos="80000">
                    <a:schemeClr val="accent1">
                      <a:lumMod val="80000"/>
                      <a:tint val="100000"/>
                      <a:shade val="56000"/>
                      <a:satMod val="145000"/>
                    </a:schemeClr>
                  </a:gs>
                  <a:gs pos="88000">
                    <a:schemeClr val="accent1">
                      <a:lumMod val="80000"/>
                      <a:tint val="100000"/>
                      <a:shade val="63000"/>
                      <a:satMod val="160000"/>
                    </a:schemeClr>
                  </a:gs>
                  <a:gs pos="100000">
                    <a:schemeClr val="accent1">
                      <a:lumMod val="8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Pt>
          <c:dPt>
            <c:idx val="19"/>
            <c:bubble3D val="0"/>
            <c:spPr>
              <a:gradFill rotWithShape="1">
                <a:gsLst>
                  <a:gs pos="0">
                    <a:schemeClr val="accent2">
                      <a:lumMod val="80000"/>
                      <a:tint val="73000"/>
                      <a:shade val="100000"/>
                      <a:satMod val="150000"/>
                    </a:schemeClr>
                  </a:gs>
                  <a:gs pos="25000">
                    <a:schemeClr val="accent2">
                      <a:lumMod val="80000"/>
                      <a:tint val="96000"/>
                      <a:shade val="80000"/>
                      <a:satMod val="105000"/>
                    </a:schemeClr>
                  </a:gs>
                  <a:gs pos="38000">
                    <a:schemeClr val="accent2">
                      <a:lumMod val="80000"/>
                      <a:tint val="96000"/>
                      <a:shade val="59000"/>
                      <a:satMod val="120000"/>
                    </a:schemeClr>
                  </a:gs>
                  <a:gs pos="55000">
                    <a:schemeClr val="accent2">
                      <a:lumMod val="80000"/>
                      <a:tint val="100000"/>
                      <a:shade val="57000"/>
                      <a:satMod val="120000"/>
                    </a:schemeClr>
                  </a:gs>
                  <a:gs pos="80000">
                    <a:schemeClr val="accent2">
                      <a:lumMod val="80000"/>
                      <a:tint val="100000"/>
                      <a:shade val="56000"/>
                      <a:satMod val="145000"/>
                    </a:schemeClr>
                  </a:gs>
                  <a:gs pos="88000">
                    <a:schemeClr val="accent2">
                      <a:lumMod val="80000"/>
                      <a:tint val="100000"/>
                      <a:shade val="63000"/>
                      <a:satMod val="160000"/>
                    </a:schemeClr>
                  </a:gs>
                  <a:gs pos="100000">
                    <a:schemeClr val="accent2">
                      <a:lumMod val="8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Pt>
          <c:dPt>
            <c:idx val="20"/>
            <c:bubble3D val="0"/>
            <c:spPr>
              <a:gradFill rotWithShape="1">
                <a:gsLst>
                  <a:gs pos="0">
                    <a:schemeClr val="accent3">
                      <a:lumMod val="80000"/>
                      <a:tint val="73000"/>
                      <a:shade val="100000"/>
                      <a:satMod val="150000"/>
                    </a:schemeClr>
                  </a:gs>
                  <a:gs pos="25000">
                    <a:schemeClr val="accent3">
                      <a:lumMod val="80000"/>
                      <a:tint val="96000"/>
                      <a:shade val="80000"/>
                      <a:satMod val="105000"/>
                    </a:schemeClr>
                  </a:gs>
                  <a:gs pos="38000">
                    <a:schemeClr val="accent3">
                      <a:lumMod val="80000"/>
                      <a:tint val="96000"/>
                      <a:shade val="59000"/>
                      <a:satMod val="120000"/>
                    </a:schemeClr>
                  </a:gs>
                  <a:gs pos="55000">
                    <a:schemeClr val="accent3">
                      <a:lumMod val="80000"/>
                      <a:tint val="100000"/>
                      <a:shade val="57000"/>
                      <a:satMod val="120000"/>
                    </a:schemeClr>
                  </a:gs>
                  <a:gs pos="80000">
                    <a:schemeClr val="accent3">
                      <a:lumMod val="80000"/>
                      <a:tint val="100000"/>
                      <a:shade val="56000"/>
                      <a:satMod val="145000"/>
                    </a:schemeClr>
                  </a:gs>
                  <a:gs pos="88000">
                    <a:schemeClr val="accent3">
                      <a:lumMod val="80000"/>
                      <a:tint val="100000"/>
                      <a:shade val="63000"/>
                      <a:satMod val="160000"/>
                    </a:schemeClr>
                  </a:gs>
                  <a:gs pos="100000">
                    <a:schemeClr val="accent3">
                      <a:lumMod val="8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Pt>
          <c:dPt>
            <c:idx val="21"/>
            <c:bubble3D val="0"/>
            <c:spPr>
              <a:gradFill rotWithShape="1">
                <a:gsLst>
                  <a:gs pos="0">
                    <a:schemeClr val="accent4">
                      <a:lumMod val="80000"/>
                      <a:tint val="73000"/>
                      <a:shade val="100000"/>
                      <a:satMod val="150000"/>
                    </a:schemeClr>
                  </a:gs>
                  <a:gs pos="25000">
                    <a:schemeClr val="accent4">
                      <a:lumMod val="80000"/>
                      <a:tint val="96000"/>
                      <a:shade val="80000"/>
                      <a:satMod val="105000"/>
                    </a:schemeClr>
                  </a:gs>
                  <a:gs pos="38000">
                    <a:schemeClr val="accent4">
                      <a:lumMod val="80000"/>
                      <a:tint val="96000"/>
                      <a:shade val="59000"/>
                      <a:satMod val="120000"/>
                    </a:schemeClr>
                  </a:gs>
                  <a:gs pos="55000">
                    <a:schemeClr val="accent4">
                      <a:lumMod val="80000"/>
                      <a:tint val="100000"/>
                      <a:shade val="57000"/>
                      <a:satMod val="120000"/>
                    </a:schemeClr>
                  </a:gs>
                  <a:gs pos="80000">
                    <a:schemeClr val="accent4">
                      <a:lumMod val="80000"/>
                      <a:tint val="100000"/>
                      <a:shade val="56000"/>
                      <a:satMod val="145000"/>
                    </a:schemeClr>
                  </a:gs>
                  <a:gs pos="88000">
                    <a:schemeClr val="accent4">
                      <a:lumMod val="80000"/>
                      <a:tint val="100000"/>
                      <a:shade val="63000"/>
                      <a:satMod val="160000"/>
                    </a:schemeClr>
                  </a:gs>
                  <a:gs pos="100000">
                    <a:schemeClr val="accent4">
                      <a:lumMod val="8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Pt>
          <c:dPt>
            <c:idx val="22"/>
            <c:bubble3D val="0"/>
            <c:spPr>
              <a:gradFill rotWithShape="1">
                <a:gsLst>
                  <a:gs pos="0">
                    <a:schemeClr val="accent5">
                      <a:lumMod val="80000"/>
                      <a:tint val="73000"/>
                      <a:shade val="100000"/>
                      <a:satMod val="150000"/>
                    </a:schemeClr>
                  </a:gs>
                  <a:gs pos="25000">
                    <a:schemeClr val="accent5">
                      <a:lumMod val="80000"/>
                      <a:tint val="96000"/>
                      <a:shade val="80000"/>
                      <a:satMod val="105000"/>
                    </a:schemeClr>
                  </a:gs>
                  <a:gs pos="38000">
                    <a:schemeClr val="accent5">
                      <a:lumMod val="80000"/>
                      <a:tint val="96000"/>
                      <a:shade val="59000"/>
                      <a:satMod val="120000"/>
                    </a:schemeClr>
                  </a:gs>
                  <a:gs pos="55000">
                    <a:schemeClr val="accent5">
                      <a:lumMod val="80000"/>
                      <a:tint val="100000"/>
                      <a:shade val="57000"/>
                      <a:satMod val="120000"/>
                    </a:schemeClr>
                  </a:gs>
                  <a:gs pos="80000">
                    <a:schemeClr val="accent5">
                      <a:lumMod val="80000"/>
                      <a:tint val="100000"/>
                      <a:shade val="56000"/>
                      <a:satMod val="145000"/>
                    </a:schemeClr>
                  </a:gs>
                  <a:gs pos="88000">
                    <a:schemeClr val="accent5">
                      <a:lumMod val="80000"/>
                      <a:tint val="100000"/>
                      <a:shade val="63000"/>
                      <a:satMod val="160000"/>
                    </a:schemeClr>
                  </a:gs>
                  <a:gs pos="100000">
                    <a:schemeClr val="accent5">
                      <a:lumMod val="80000"/>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Pt>
          <c:cat>
            <c:strRef>
              <c:f>'Pivot Table'!$G$6:$G$28</c:f>
              <c:strCache>
                <c:ptCount val="23"/>
                <c:pt idx="0">
                  <c:v>A</c:v>
                </c:pt>
                <c:pt idx="1">
                  <c:v>B</c:v>
                </c:pt>
                <c:pt idx="2">
                  <c:v>C</c:v>
                </c:pt>
                <c:pt idx="3">
                  <c:v>D</c:v>
                </c:pt>
                <c:pt idx="4">
                  <c:v>E</c:v>
                </c:pt>
                <c:pt idx="5">
                  <c:v>F</c:v>
                </c:pt>
                <c:pt idx="6">
                  <c:v>G</c:v>
                </c:pt>
                <c:pt idx="7">
                  <c:v>H</c:v>
                </c:pt>
                <c:pt idx="8">
                  <c:v>I</c:v>
                </c:pt>
                <c:pt idx="9">
                  <c:v>J</c:v>
                </c:pt>
                <c:pt idx="10">
                  <c:v>K</c:v>
                </c:pt>
                <c:pt idx="11">
                  <c:v>L</c:v>
                </c:pt>
                <c:pt idx="12">
                  <c:v>M</c:v>
                </c:pt>
                <c:pt idx="13">
                  <c:v>N</c:v>
                </c:pt>
                <c:pt idx="14">
                  <c:v>O</c:v>
                </c:pt>
                <c:pt idx="15">
                  <c:v>P</c:v>
                </c:pt>
                <c:pt idx="16">
                  <c:v>R</c:v>
                </c:pt>
                <c:pt idx="17">
                  <c:v>S</c:v>
                </c:pt>
                <c:pt idx="18">
                  <c:v>T</c:v>
                </c:pt>
                <c:pt idx="19">
                  <c:v>U</c:v>
                </c:pt>
                <c:pt idx="20">
                  <c:v>V</c:v>
                </c:pt>
                <c:pt idx="21">
                  <c:v>Y</c:v>
                </c:pt>
                <c:pt idx="22">
                  <c:v>Z</c:v>
                </c:pt>
              </c:strCache>
            </c:strRef>
          </c:cat>
          <c:val>
            <c:numRef>
              <c:f>'Pivot Table'!$H$6:$H$28</c:f>
              <c:numCache>
                <c:formatCode>General</c:formatCode>
                <c:ptCount val="23"/>
                <c:pt idx="0">
                  <c:v>4246914</c:v>
                </c:pt>
                <c:pt idx="1">
                  <c:v>2640848</c:v>
                </c:pt>
                <c:pt idx="2">
                  <c:v>1138068</c:v>
                </c:pt>
                <c:pt idx="3">
                  <c:v>5161</c:v>
                </c:pt>
                <c:pt idx="4">
                  <c:v>901834</c:v>
                </c:pt>
                <c:pt idx="5">
                  <c:v>504529</c:v>
                </c:pt>
                <c:pt idx="6">
                  <c:v>253387</c:v>
                </c:pt>
                <c:pt idx="7">
                  <c:v>236384</c:v>
                </c:pt>
                <c:pt idx="8">
                  <c:v>275471</c:v>
                </c:pt>
                <c:pt idx="9">
                  <c:v>29756</c:v>
                </c:pt>
                <c:pt idx="10">
                  <c:v>100691</c:v>
                </c:pt>
                <c:pt idx="11">
                  <c:v>48695</c:v>
                </c:pt>
                <c:pt idx="12">
                  <c:v>84781</c:v>
                </c:pt>
                <c:pt idx="13">
                  <c:v>11048</c:v>
                </c:pt>
                <c:pt idx="14">
                  <c:v>24051</c:v>
                </c:pt>
                <c:pt idx="15">
                  <c:v>57375</c:v>
                </c:pt>
                <c:pt idx="16">
                  <c:v>75710</c:v>
                </c:pt>
                <c:pt idx="17">
                  <c:v>37578</c:v>
                </c:pt>
                <c:pt idx="18">
                  <c:v>29809</c:v>
                </c:pt>
                <c:pt idx="19">
                  <c:v>13857</c:v>
                </c:pt>
                <c:pt idx="20">
                  <c:v>6931</c:v>
                </c:pt>
                <c:pt idx="21">
                  <c:v>2576</c:v>
                </c:pt>
                <c:pt idx="22">
                  <c:v>28758</c:v>
                </c:pt>
              </c:numCache>
            </c:numRef>
          </c:val>
          <c:extLst>
            <c:ext xmlns:c16="http://schemas.microsoft.com/office/drawing/2014/chart" uri="{C3380CC4-5D6E-409C-BE32-E72D297353CC}">
              <c16:uniqueId val="{0000002E-7301-4FED-8E52-DC1CAD45D94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31530842734853"/>
          <c:y val="4.3380836603195236E-2"/>
          <c:w val="0.76733263975175059"/>
          <c:h val="0.73717682530512041"/>
        </c:manualLayout>
      </c:layout>
      <c:barChart>
        <c:barDir val="col"/>
        <c:grouping val="clustered"/>
        <c:varyColors val="0"/>
        <c:ser>
          <c:idx val="0"/>
          <c:order val="0"/>
          <c:tx>
            <c:strRef>
              <c:f>'Pivot Table'!$I$35</c:f>
              <c:strCache>
                <c:ptCount val="1"/>
                <c:pt idx="0">
                  <c:v>Sum of Bounce Rate</c:v>
                </c:pt>
              </c:strCache>
            </c:strRef>
          </c:tx>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invertIfNegative val="0"/>
          <c:cat>
            <c:strRef>
              <c:f>'Pivot Table'!$H$36:$H$47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Table'!$I$36:$I$47</c:f>
              <c:numCache>
                <c:formatCode>0.0</c:formatCode>
                <c:ptCount val="12"/>
                <c:pt idx="0">
                  <c:v>11.838200000000001</c:v>
                </c:pt>
                <c:pt idx="1">
                  <c:v>10.258699999999999</c:v>
                </c:pt>
                <c:pt idx="2">
                  <c:v>9.6037999999999997</c:v>
                </c:pt>
                <c:pt idx="3">
                  <c:v>11.4575</c:v>
                </c:pt>
                <c:pt idx="4">
                  <c:v>13.555199999999999</c:v>
                </c:pt>
                <c:pt idx="5">
                  <c:v>8.5290999999999997</c:v>
                </c:pt>
                <c:pt idx="6">
                  <c:v>7.8277000000000001</c:v>
                </c:pt>
                <c:pt idx="7">
                  <c:v>8.8374000000000006</c:v>
                </c:pt>
                <c:pt idx="8">
                  <c:v>11.1922</c:v>
                </c:pt>
                <c:pt idx="9">
                  <c:v>6.8204000000000002</c:v>
                </c:pt>
                <c:pt idx="10">
                  <c:v>10.306699999999999</c:v>
                </c:pt>
                <c:pt idx="11">
                  <c:v>10.459199999999999</c:v>
                </c:pt>
              </c:numCache>
            </c:numRef>
          </c:val>
          <c:extLst>
            <c:ext xmlns:c16="http://schemas.microsoft.com/office/drawing/2014/chart" uri="{C3380CC4-5D6E-409C-BE32-E72D297353CC}">
              <c16:uniqueId val="{00000000-E257-4E91-9792-41EE9F056A12}"/>
            </c:ext>
          </c:extLst>
        </c:ser>
        <c:dLbls>
          <c:showLegendKey val="0"/>
          <c:showVal val="0"/>
          <c:showCatName val="0"/>
          <c:showSerName val="0"/>
          <c:showPercent val="0"/>
          <c:showBubbleSize val="0"/>
        </c:dLbls>
        <c:gapWidth val="219"/>
        <c:overlap val="-27"/>
        <c:axId val="737112815"/>
        <c:axId val="737113295"/>
      </c:barChart>
      <c:lineChart>
        <c:grouping val="standard"/>
        <c:varyColors val="0"/>
        <c:ser>
          <c:idx val="1"/>
          <c:order val="1"/>
          <c:tx>
            <c:strRef>
              <c:f>'Pivot Table'!$J$35</c:f>
              <c:strCache>
                <c:ptCount val="1"/>
                <c:pt idx="0">
                  <c:v>Sum of Conversion Rate (%)</c:v>
                </c:pt>
              </c:strCache>
            </c:strRef>
          </c:tx>
          <c:spPr>
            <a:ln w="34925" cap="rnd">
              <a:solidFill>
                <a:schemeClr val="accent2"/>
              </a:solidFill>
              <a:round/>
            </a:ln>
            <a:effectLst>
              <a:glow rad="50800">
                <a:scrgbClr r="0" g="0" b="0">
                  <a:tint val="68000"/>
                  <a:shade val="93000"/>
                  <a:alpha val="37000"/>
                  <a:satMod val="250000"/>
                </a:scrgbClr>
              </a:glow>
            </a:effectLst>
          </c:spPr>
          <c:marker>
            <c:symbol val="none"/>
          </c:marker>
          <c:cat>
            <c:strRef>
              <c:f>'Pivot Table'!$H$36:$H$47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Table'!$J$36:$J$47</c:f>
              <c:numCache>
                <c:formatCode>0.0</c:formatCode>
                <c:ptCount val="12"/>
                <c:pt idx="0">
                  <c:v>67.55</c:v>
                </c:pt>
                <c:pt idx="1">
                  <c:v>69.61</c:v>
                </c:pt>
                <c:pt idx="2">
                  <c:v>64.680000000000007</c:v>
                </c:pt>
                <c:pt idx="3">
                  <c:v>78.09</c:v>
                </c:pt>
                <c:pt idx="4">
                  <c:v>75.069999999999993</c:v>
                </c:pt>
                <c:pt idx="5">
                  <c:v>72.81</c:v>
                </c:pt>
                <c:pt idx="6">
                  <c:v>73.25</c:v>
                </c:pt>
                <c:pt idx="7">
                  <c:v>17.53</c:v>
                </c:pt>
                <c:pt idx="8">
                  <c:v>63.26</c:v>
                </c:pt>
                <c:pt idx="9">
                  <c:v>81.010000000000005</c:v>
                </c:pt>
                <c:pt idx="10">
                  <c:v>58.55</c:v>
                </c:pt>
                <c:pt idx="11">
                  <c:v>63.08</c:v>
                </c:pt>
              </c:numCache>
            </c:numRef>
          </c:val>
          <c:smooth val="0"/>
          <c:extLst>
            <c:ext xmlns:c16="http://schemas.microsoft.com/office/drawing/2014/chart" uri="{C3380CC4-5D6E-409C-BE32-E72D297353CC}">
              <c16:uniqueId val="{00000001-E257-4E91-9792-41EE9F056A12}"/>
            </c:ext>
          </c:extLst>
        </c:ser>
        <c:dLbls>
          <c:showLegendKey val="0"/>
          <c:showVal val="0"/>
          <c:showCatName val="0"/>
          <c:showSerName val="0"/>
          <c:showPercent val="0"/>
          <c:showBubbleSize val="0"/>
        </c:dLbls>
        <c:marker val="1"/>
        <c:smooth val="0"/>
        <c:axId val="737122895"/>
        <c:axId val="737123855"/>
      </c:lineChart>
      <c:catAx>
        <c:axId val="7371128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7113295"/>
        <c:crosses val="autoZero"/>
        <c:auto val="1"/>
        <c:lblAlgn val="ctr"/>
        <c:lblOffset val="100"/>
        <c:noMultiLvlLbl val="0"/>
      </c:catAx>
      <c:valAx>
        <c:axId val="73711329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7112815"/>
        <c:crosses val="autoZero"/>
        <c:crossBetween val="between"/>
      </c:valAx>
      <c:valAx>
        <c:axId val="737123855"/>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7122895"/>
        <c:crosses val="max"/>
        <c:crossBetween val="between"/>
      </c:valAx>
      <c:catAx>
        <c:axId val="737122895"/>
        <c:scaling>
          <c:orientation val="minMax"/>
        </c:scaling>
        <c:delete val="1"/>
        <c:axPos val="b"/>
        <c:numFmt formatCode="General" sourceLinked="1"/>
        <c:majorTickMark val="none"/>
        <c:minorTickMark val="none"/>
        <c:tickLblPos val="nextTo"/>
        <c:crossAx val="737123855"/>
        <c:crosses val="autoZero"/>
        <c:auto val="1"/>
        <c:lblAlgn val="ctr"/>
        <c:lblOffset val="100"/>
        <c:noMultiLvlLbl val="0"/>
      </c:catAx>
      <c:spPr>
        <a:noFill/>
        <a:ln>
          <a:noFill/>
        </a:ln>
        <a:effectLst/>
      </c:spPr>
    </c:plotArea>
    <c:legend>
      <c:legendPos val="b"/>
      <c:layout>
        <c:manualLayout>
          <c:xMode val="edge"/>
          <c:yMode val="edge"/>
          <c:x val="0"/>
          <c:y val="0.92197567864679875"/>
          <c:w val="0.96868459317690114"/>
          <c:h val="7.16551118172407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[Web Analytic_Dataset.xlsx]Pivot Table!PivotTable49</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tint val="73000"/>
                  <a:shade val="100000"/>
                  <a:satMod val="150000"/>
                </a:schemeClr>
              </a:gs>
              <a:gs pos="25000">
                <a:schemeClr val="accent3">
                  <a:tint val="96000"/>
                  <a:shade val="80000"/>
                  <a:satMod val="105000"/>
                </a:schemeClr>
              </a:gs>
              <a:gs pos="38000">
                <a:schemeClr val="accent3">
                  <a:tint val="96000"/>
                  <a:shade val="59000"/>
                  <a:satMod val="120000"/>
                </a:schemeClr>
              </a:gs>
              <a:gs pos="55000">
                <a:schemeClr val="accent3">
                  <a:tint val="100000"/>
                  <a:shade val="57000"/>
                  <a:satMod val="120000"/>
                </a:schemeClr>
              </a:gs>
              <a:gs pos="80000">
                <a:schemeClr val="accent3">
                  <a:tint val="100000"/>
                  <a:shade val="56000"/>
                  <a:satMod val="145000"/>
                </a:schemeClr>
              </a:gs>
              <a:gs pos="88000">
                <a:schemeClr val="accent3">
                  <a:tint val="100000"/>
                  <a:shade val="63000"/>
                  <a:satMod val="160000"/>
                </a:schemeClr>
              </a:gs>
              <a:gs pos="100000">
                <a:schemeClr val="accent3">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Table'!$J$59</c:f>
              <c:strCache>
                <c:ptCount val="1"/>
                <c:pt idx="0">
                  <c:v>Total</c:v>
                </c:pt>
              </c:strCache>
            </c:strRef>
          </c:tx>
          <c:spPr>
            <a:gradFill rotWithShape="1">
              <a:gsLst>
                <a:gs pos="0">
                  <a:schemeClr val="accent3">
                    <a:tint val="73000"/>
                    <a:shade val="100000"/>
                    <a:satMod val="150000"/>
                  </a:schemeClr>
                </a:gs>
                <a:gs pos="25000">
                  <a:schemeClr val="accent3">
                    <a:tint val="96000"/>
                    <a:shade val="80000"/>
                    <a:satMod val="105000"/>
                  </a:schemeClr>
                </a:gs>
                <a:gs pos="38000">
                  <a:schemeClr val="accent3">
                    <a:tint val="96000"/>
                    <a:shade val="59000"/>
                    <a:satMod val="120000"/>
                  </a:schemeClr>
                </a:gs>
                <a:gs pos="55000">
                  <a:schemeClr val="accent3">
                    <a:tint val="100000"/>
                    <a:shade val="57000"/>
                    <a:satMod val="120000"/>
                  </a:schemeClr>
                </a:gs>
                <a:gs pos="80000">
                  <a:schemeClr val="accent3">
                    <a:tint val="100000"/>
                    <a:shade val="56000"/>
                    <a:satMod val="145000"/>
                  </a:schemeClr>
                </a:gs>
                <a:gs pos="88000">
                  <a:schemeClr val="accent3">
                    <a:tint val="100000"/>
                    <a:shade val="63000"/>
                    <a:satMod val="160000"/>
                  </a:schemeClr>
                </a:gs>
                <a:gs pos="100000">
                  <a:schemeClr val="accent3">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invertIfNegative val="0"/>
          <c:cat>
            <c:strRef>
              <c:f>'Pivot Table'!$I$60:$I$63</c:f>
              <c:strCache>
                <c:ptCount val="4"/>
                <c:pt idx="0">
                  <c:v>Qtr1</c:v>
                </c:pt>
                <c:pt idx="1">
                  <c:v>Qtr2</c:v>
                </c:pt>
                <c:pt idx="2">
                  <c:v>Qtr3</c:v>
                </c:pt>
                <c:pt idx="3">
                  <c:v>Qtr4</c:v>
                </c:pt>
              </c:strCache>
            </c:strRef>
          </c:cat>
          <c:val>
            <c:numRef>
              <c:f>'Pivot Table'!$J$60:$J$63</c:f>
              <c:numCache>
                <c:formatCode>0.00%</c:formatCode>
                <c:ptCount val="4"/>
                <c:pt idx="0">
                  <c:v>0.24021770918941604</c:v>
                </c:pt>
                <c:pt idx="1">
                  <c:v>0.25026148195865805</c:v>
                </c:pt>
                <c:pt idx="2">
                  <c:v>0.23140543577234207</c:v>
                </c:pt>
                <c:pt idx="3">
                  <c:v>0.27811537307958373</c:v>
                </c:pt>
              </c:numCache>
            </c:numRef>
          </c:val>
          <c:extLst>
            <c:ext xmlns:c16="http://schemas.microsoft.com/office/drawing/2014/chart" uri="{C3380CC4-5D6E-409C-BE32-E72D297353CC}">
              <c16:uniqueId val="{00000000-8E3F-48A6-9715-9283633A3AE0}"/>
            </c:ext>
          </c:extLst>
        </c:ser>
        <c:dLbls>
          <c:showLegendKey val="0"/>
          <c:showVal val="0"/>
          <c:showCatName val="0"/>
          <c:showSerName val="0"/>
          <c:showPercent val="0"/>
          <c:showBubbleSize val="0"/>
        </c:dLbls>
        <c:gapWidth val="100"/>
        <c:overlap val="-24"/>
        <c:axId val="737083535"/>
        <c:axId val="737096015"/>
      </c:barChart>
      <c:catAx>
        <c:axId val="7370835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737096015"/>
        <c:crosses val="autoZero"/>
        <c:auto val="1"/>
        <c:lblAlgn val="ctr"/>
        <c:lblOffset val="100"/>
        <c:noMultiLvlLbl val="0"/>
      </c:catAx>
      <c:valAx>
        <c:axId val="7370960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737083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 Analytic_Dataset.xlsx]Pivot Table!PivotTable48</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scene3d>
            <a:camera prst="orthographicFront">
              <a:rot lat="0" lon="0" rev="0"/>
            </a:camera>
            <a:lightRig rig="glow" dir="tl">
              <a:rot lat="0" lon="0" rev="1800000"/>
            </a:lightRig>
          </a:scene3d>
          <a:sp3d contourW="10160" prstMaterial="dkEdge">
            <a:bevelT w="0" h="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scene3d>
            <a:camera prst="orthographicFront">
              <a:rot lat="0" lon="0" rev="0"/>
            </a:camera>
            <a:lightRig rig="glow" dir="tl">
              <a:rot lat="0" lon="0" rev="1800000"/>
            </a:lightRig>
          </a:scene3d>
          <a:sp3d contourW="10160" prstMaterial="dkEdge">
            <a:bevelT w="0" h="0" prst="angle"/>
            <a:contourClr>
              <a:scrgbClr r="0" g="0" b="0">
                <a:shade val="30000"/>
                <a:satMod val="150000"/>
              </a:scrgbClr>
            </a:contourClr>
          </a:sp3d>
        </c:spPr>
      </c:pivotFmt>
      <c:pivotFmt>
        <c:idx val="18"/>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scene3d>
            <a:camera prst="orthographicFront">
              <a:rot lat="0" lon="0" rev="0"/>
            </a:camera>
            <a:lightRig rig="glow" dir="tl">
              <a:rot lat="0" lon="0" rev="1800000"/>
            </a:lightRig>
          </a:scene3d>
          <a:sp3d contourW="10160" prstMaterial="dkEdge">
            <a:bevelT w="0" h="0" prst="angle"/>
            <a:contourClr>
              <a:scrgbClr r="0" g="0" b="0">
                <a:shade val="30000"/>
                <a:satMod val="150000"/>
              </a:scrgbClr>
            </a:contourClr>
          </a:sp3d>
        </c:spPr>
      </c:pivotFmt>
      <c:pivotFmt>
        <c:idx val="19"/>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scene3d>
            <a:camera prst="orthographicFront">
              <a:rot lat="0" lon="0" rev="0"/>
            </a:camera>
            <a:lightRig rig="glow" dir="tl">
              <a:rot lat="0" lon="0" rev="1800000"/>
            </a:lightRig>
          </a:scene3d>
          <a:sp3d contourW="10160" prstMaterial="dkEdge">
            <a:bevelT w="0" h="0" prst="angle"/>
            <a:contourClr>
              <a:scrgbClr r="0" g="0" b="0">
                <a:shade val="30000"/>
                <a:satMod val="150000"/>
              </a:scrgbClr>
            </a:contourClr>
          </a:sp3d>
        </c:spPr>
      </c:pivotFmt>
      <c:pivotFmt>
        <c:idx val="2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scene3d>
            <a:camera prst="orthographicFront">
              <a:rot lat="0" lon="0" rev="0"/>
            </a:camera>
            <a:lightRig rig="glow" dir="tl">
              <a:rot lat="0" lon="0" rev="1800000"/>
            </a:lightRig>
          </a:scene3d>
          <a:sp3d contourW="10160" prstMaterial="dkEdge">
            <a:bevelT w="0" h="0" prst="angle"/>
            <a:contourClr>
              <a:scrgbClr r="0" g="0" b="0">
                <a:shade val="30000"/>
                <a:satMod val="150000"/>
              </a:scrgbClr>
            </a:contourClr>
          </a:sp3d>
        </c:spPr>
      </c:pivotFmt>
    </c:pivotFmts>
    <c:plotArea>
      <c:layout>
        <c:manualLayout>
          <c:layoutTarget val="inner"/>
          <c:xMode val="edge"/>
          <c:yMode val="edge"/>
          <c:x val="1.0797496466787805E-2"/>
          <c:y val="0"/>
          <c:w val="0.98920250353321215"/>
          <c:h val="0.91275777672664038"/>
        </c:manualLayout>
      </c:layout>
      <c:doughnutChart>
        <c:varyColors val="1"/>
        <c:ser>
          <c:idx val="0"/>
          <c:order val="0"/>
          <c:tx>
            <c:strRef>
              <c:f>'Pivot Table'!$G$59</c:f>
              <c:strCache>
                <c:ptCount val="1"/>
                <c:pt idx="0">
                  <c:v>Total</c:v>
                </c:pt>
              </c:strCache>
            </c:strRef>
          </c:tx>
          <c:dPt>
            <c:idx val="0"/>
            <c:bubble3D val="0"/>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scene3d>
                <a:camera prst="orthographicFront">
                  <a:rot lat="0" lon="0" rev="0"/>
                </a:camera>
                <a:lightRig rig="glow" dir="tl">
                  <a:rot lat="0" lon="0" rev="1800000"/>
                </a:lightRig>
              </a:scene3d>
              <a:sp3d contourW="10160" prstMaterial="dkEdge">
                <a:bevelT w="0" h="0" prst="angle"/>
                <a:contourClr>
                  <a:scrgbClr r="0" g="0" b="0">
                    <a:shade val="30000"/>
                    <a:satMod val="150000"/>
                  </a:scrgbClr>
                </a:contourClr>
              </a:sp3d>
            </c:spPr>
          </c:dPt>
          <c:dPt>
            <c:idx val="1"/>
            <c:bubble3D val="0"/>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a:noFill/>
              </a:ln>
              <a:effectLst/>
              <a:scene3d>
                <a:camera prst="orthographicFront">
                  <a:rot lat="0" lon="0" rev="0"/>
                </a:camera>
                <a:lightRig rig="glow" dir="tl">
                  <a:rot lat="0" lon="0" rev="1800000"/>
                </a:lightRig>
              </a:scene3d>
              <a:sp3d contourW="10160" prstMaterial="dkEdge">
                <a:bevelT w="0" h="0" prst="angle"/>
                <a:contourClr>
                  <a:scrgbClr r="0" g="0" b="0">
                    <a:shade val="30000"/>
                    <a:satMod val="150000"/>
                  </a:scrgbClr>
                </a:contourClr>
              </a:sp3d>
            </c:spPr>
          </c:dPt>
          <c:dPt>
            <c:idx val="2"/>
            <c:bubble3D val="0"/>
            <c:spPr>
              <a:gradFill rotWithShape="1">
                <a:gsLst>
                  <a:gs pos="0">
                    <a:schemeClr val="accent3">
                      <a:tint val="73000"/>
                      <a:shade val="100000"/>
                      <a:satMod val="150000"/>
                    </a:schemeClr>
                  </a:gs>
                  <a:gs pos="25000">
                    <a:schemeClr val="accent3">
                      <a:tint val="96000"/>
                      <a:shade val="80000"/>
                      <a:satMod val="105000"/>
                    </a:schemeClr>
                  </a:gs>
                  <a:gs pos="38000">
                    <a:schemeClr val="accent3">
                      <a:tint val="96000"/>
                      <a:shade val="59000"/>
                      <a:satMod val="120000"/>
                    </a:schemeClr>
                  </a:gs>
                  <a:gs pos="55000">
                    <a:schemeClr val="accent3">
                      <a:tint val="100000"/>
                      <a:shade val="57000"/>
                      <a:satMod val="120000"/>
                    </a:schemeClr>
                  </a:gs>
                  <a:gs pos="80000">
                    <a:schemeClr val="accent3">
                      <a:tint val="100000"/>
                      <a:shade val="56000"/>
                      <a:satMod val="145000"/>
                    </a:schemeClr>
                  </a:gs>
                  <a:gs pos="88000">
                    <a:schemeClr val="accent3">
                      <a:tint val="100000"/>
                      <a:shade val="63000"/>
                      <a:satMod val="160000"/>
                    </a:schemeClr>
                  </a:gs>
                  <a:gs pos="100000">
                    <a:schemeClr val="accent3">
                      <a:tint val="99000"/>
                      <a:shade val="100000"/>
                      <a:satMod val="155000"/>
                    </a:schemeClr>
                  </a:gs>
                </a:gsLst>
                <a:lin ang="5400000" scaled="0"/>
              </a:gradFill>
              <a:ln>
                <a:noFill/>
              </a:ln>
              <a:effectLst/>
              <a:scene3d>
                <a:camera prst="orthographicFront">
                  <a:rot lat="0" lon="0" rev="0"/>
                </a:camera>
                <a:lightRig rig="glow" dir="tl">
                  <a:rot lat="0" lon="0" rev="1800000"/>
                </a:lightRig>
              </a:scene3d>
              <a:sp3d contourW="10160" prstMaterial="dkEdge">
                <a:bevelT w="0" h="0" prst="angle"/>
                <a:contourClr>
                  <a:scrgbClr r="0" g="0" b="0">
                    <a:shade val="30000"/>
                    <a:satMod val="150000"/>
                  </a:scrgbClr>
                </a:contourClr>
              </a:sp3d>
            </c:spPr>
          </c:dPt>
          <c:dPt>
            <c:idx val="3"/>
            <c:bubble3D val="0"/>
            <c:spPr>
              <a:gradFill rotWithShape="1">
                <a:gsLst>
                  <a:gs pos="0">
                    <a:schemeClr val="accent4">
                      <a:tint val="73000"/>
                      <a:shade val="100000"/>
                      <a:satMod val="150000"/>
                    </a:schemeClr>
                  </a:gs>
                  <a:gs pos="25000">
                    <a:schemeClr val="accent4">
                      <a:tint val="96000"/>
                      <a:shade val="80000"/>
                      <a:satMod val="105000"/>
                    </a:schemeClr>
                  </a:gs>
                  <a:gs pos="38000">
                    <a:schemeClr val="accent4">
                      <a:tint val="96000"/>
                      <a:shade val="59000"/>
                      <a:satMod val="120000"/>
                    </a:schemeClr>
                  </a:gs>
                  <a:gs pos="55000">
                    <a:schemeClr val="accent4">
                      <a:tint val="100000"/>
                      <a:shade val="57000"/>
                      <a:satMod val="120000"/>
                    </a:schemeClr>
                  </a:gs>
                  <a:gs pos="80000">
                    <a:schemeClr val="accent4">
                      <a:tint val="100000"/>
                      <a:shade val="56000"/>
                      <a:satMod val="145000"/>
                    </a:schemeClr>
                  </a:gs>
                  <a:gs pos="88000">
                    <a:schemeClr val="accent4">
                      <a:tint val="100000"/>
                      <a:shade val="63000"/>
                      <a:satMod val="160000"/>
                    </a:schemeClr>
                  </a:gs>
                  <a:gs pos="100000">
                    <a:schemeClr val="accent4">
                      <a:tint val="99000"/>
                      <a:shade val="100000"/>
                      <a:satMod val="155000"/>
                    </a:schemeClr>
                  </a:gs>
                </a:gsLst>
                <a:lin ang="5400000" scaled="0"/>
              </a:gradFill>
              <a:ln>
                <a:noFill/>
              </a:ln>
              <a:effectLst/>
              <a:scene3d>
                <a:camera prst="orthographicFront">
                  <a:rot lat="0" lon="0" rev="0"/>
                </a:camera>
                <a:lightRig rig="glow" dir="tl">
                  <a:rot lat="0" lon="0" rev="1800000"/>
                </a:lightRig>
              </a:scene3d>
              <a:sp3d contourW="10160" prstMaterial="dkEdge">
                <a:bevelT w="0" h="0" prst="angle"/>
                <a:contourClr>
                  <a:scrgbClr r="0" g="0" b="0">
                    <a:shade val="30000"/>
                    <a:satMod val="150000"/>
                  </a:scrgbClr>
                </a:contourClr>
              </a:sp3d>
            </c:spPr>
          </c:dPt>
          <c:dLbls>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Table'!$F$60:$F$63</c:f>
              <c:strCache>
                <c:ptCount val="4"/>
                <c:pt idx="0">
                  <c:v>Qtr1</c:v>
                </c:pt>
                <c:pt idx="1">
                  <c:v>Qtr2</c:v>
                </c:pt>
                <c:pt idx="2">
                  <c:v>Qtr3</c:v>
                </c:pt>
                <c:pt idx="3">
                  <c:v>Qtr4</c:v>
                </c:pt>
              </c:strCache>
            </c:strRef>
          </c:cat>
          <c:val>
            <c:numRef>
              <c:f>'Pivot Table'!$G$60:$G$63</c:f>
              <c:numCache>
                <c:formatCode>0.00</c:formatCode>
                <c:ptCount val="4"/>
                <c:pt idx="0">
                  <c:v>4778</c:v>
                </c:pt>
                <c:pt idx="1">
                  <c:v>9298</c:v>
                </c:pt>
                <c:pt idx="2">
                  <c:v>3403</c:v>
                </c:pt>
                <c:pt idx="3">
                  <c:v>3782</c:v>
                </c:pt>
              </c:numCache>
            </c:numRef>
          </c:val>
          <c:extLst>
            <c:ext xmlns:c16="http://schemas.microsoft.com/office/drawing/2014/chart" uri="{C3380CC4-5D6E-409C-BE32-E72D297353CC}">
              <c16:uniqueId val="{00000008-7BE2-4420-B8B9-04C5A2CA1FB0}"/>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r"/>
      <c:layout>
        <c:manualLayout>
          <c:xMode val="edge"/>
          <c:yMode val="edge"/>
          <c:x val="0.15911083834868975"/>
          <c:y val="0.88536574232568765"/>
          <c:w val="0.14571659154318931"/>
          <c:h val="0.11463426450334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 Analytic_Dataset.xlsx]Pivot Table!PivotTable17</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49107337549062"/>
          <c:y val="6.2947067238912732E-2"/>
          <c:w val="0.78250892662450933"/>
          <c:h val="0.87410586552217451"/>
        </c:manualLayout>
      </c:layout>
      <c:barChart>
        <c:barDir val="bar"/>
        <c:grouping val="clustered"/>
        <c:varyColors val="0"/>
        <c:ser>
          <c:idx val="0"/>
          <c:order val="0"/>
          <c:tx>
            <c:strRef>
              <c:f>'Pivot Table'!$O$10</c:f>
              <c:strCache>
                <c:ptCount val="1"/>
                <c:pt idx="0">
                  <c:v>Total</c:v>
                </c:pt>
              </c:strCache>
            </c:strRef>
          </c:tx>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invertIfNegative val="0"/>
          <c:cat>
            <c:multiLvlStrRef>
              <c:f>'Pivot Table'!$N$11:$N$24</c:f>
              <c:multiLvlStrCache>
                <c:ptCount val="12"/>
                <c:lvl>
                  <c:pt idx="0">
                    <c:v>Sep</c:v>
                  </c:pt>
                  <c:pt idx="1">
                    <c:v>Oct</c:v>
                  </c:pt>
                  <c:pt idx="2">
                    <c:v>Nov</c:v>
                  </c:pt>
                  <c:pt idx="3">
                    <c:v>Dec</c:v>
                  </c:pt>
                  <c:pt idx="4">
                    <c:v>Jan</c:v>
                  </c:pt>
                  <c:pt idx="5">
                    <c:v>Feb</c:v>
                  </c:pt>
                  <c:pt idx="6">
                    <c:v>Mar</c:v>
                  </c:pt>
                  <c:pt idx="7">
                    <c:v>Apr</c:v>
                  </c:pt>
                  <c:pt idx="8">
                    <c:v>May</c:v>
                  </c:pt>
                  <c:pt idx="9">
                    <c:v>Jun</c:v>
                  </c:pt>
                  <c:pt idx="10">
                    <c:v>Jul</c:v>
                  </c:pt>
                  <c:pt idx="11">
                    <c:v>Aug</c:v>
                  </c:pt>
                </c:lvl>
                <c:lvl>
                  <c:pt idx="0">
                    <c:v>2019</c:v>
                  </c:pt>
                  <c:pt idx="4">
                    <c:v>2020</c:v>
                  </c:pt>
                </c:lvl>
              </c:multiLvlStrCache>
            </c:multiLvlStrRef>
          </c:cat>
          <c:val>
            <c:numRef>
              <c:f>'Pivot Table'!$O$11:$O$24</c:f>
              <c:numCache>
                <c:formatCode>\$\ 0.00,\ \K</c:formatCode>
                <c:ptCount val="12"/>
                <c:pt idx="0">
                  <c:v>155796</c:v>
                </c:pt>
                <c:pt idx="1">
                  <c:v>283905</c:v>
                </c:pt>
                <c:pt idx="2">
                  <c:v>270010</c:v>
                </c:pt>
                <c:pt idx="3">
                  <c:v>260688</c:v>
                </c:pt>
                <c:pt idx="4">
                  <c:v>307336</c:v>
                </c:pt>
                <c:pt idx="5">
                  <c:v>323540</c:v>
                </c:pt>
                <c:pt idx="6">
                  <c:v>277426</c:v>
                </c:pt>
                <c:pt idx="7">
                  <c:v>373345</c:v>
                </c:pt>
                <c:pt idx="8">
                  <c:v>589545</c:v>
                </c:pt>
                <c:pt idx="9">
                  <c:v>469360</c:v>
                </c:pt>
                <c:pt idx="10">
                  <c:v>266165</c:v>
                </c:pt>
                <c:pt idx="11">
                  <c:v>115788</c:v>
                </c:pt>
              </c:numCache>
            </c:numRef>
          </c:val>
          <c:extLst>
            <c:ext xmlns:c16="http://schemas.microsoft.com/office/drawing/2014/chart" uri="{C3380CC4-5D6E-409C-BE32-E72D297353CC}">
              <c16:uniqueId val="{00000000-3866-4C6C-A039-165B9F8E2889}"/>
            </c:ext>
          </c:extLst>
        </c:ser>
        <c:dLbls>
          <c:showLegendKey val="0"/>
          <c:showVal val="0"/>
          <c:showCatName val="0"/>
          <c:showSerName val="0"/>
          <c:showPercent val="0"/>
          <c:showBubbleSize val="0"/>
        </c:dLbls>
        <c:gapWidth val="115"/>
        <c:overlap val="-20"/>
        <c:axId val="737201615"/>
        <c:axId val="737204495"/>
      </c:barChart>
      <c:catAx>
        <c:axId val="7372016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37204495"/>
        <c:crosses val="autoZero"/>
        <c:auto val="1"/>
        <c:lblAlgn val="ctr"/>
        <c:lblOffset val="100"/>
        <c:noMultiLvlLbl val="0"/>
      </c:catAx>
      <c:valAx>
        <c:axId val="737204495"/>
        <c:scaling>
          <c:orientation val="minMax"/>
        </c:scaling>
        <c:delete val="0"/>
        <c:axPos val="b"/>
        <c:numFmt formatCode="\$\ 0.00,\ \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37201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 Analytic_Dataset.xlsx]Pivot Table!PivotTable6</c:name>
    <c:fmtId val="1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Total Users By Quarter</a:t>
            </a:r>
          </a:p>
        </c:rich>
      </c:tx>
      <c:layout>
        <c:manualLayout>
          <c:xMode val="edge"/>
          <c:yMode val="edge"/>
          <c:x val="0.11802262648203457"/>
          <c:y val="6.763285024154588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Table'!$F$70</c:f>
              <c:strCache>
                <c:ptCount val="1"/>
                <c:pt idx="0">
                  <c:v>Total</c:v>
                </c:pt>
              </c:strCache>
            </c:strRef>
          </c:tx>
          <c:spPr>
            <a:solidFill>
              <a:schemeClr val="accent1"/>
            </a:solidFill>
            <a:ln>
              <a:noFill/>
            </a:ln>
            <a:effectLst/>
          </c:spPr>
          <c:invertIfNegative val="0"/>
          <c:cat>
            <c:strRef>
              <c:f>'Pivot Table'!$E$71:$E$74</c:f>
              <c:strCache>
                <c:ptCount val="4"/>
                <c:pt idx="0">
                  <c:v>Qtr1</c:v>
                </c:pt>
                <c:pt idx="1">
                  <c:v>Qtr2</c:v>
                </c:pt>
                <c:pt idx="2">
                  <c:v>Qtr3</c:v>
                </c:pt>
                <c:pt idx="3">
                  <c:v>Qtr4</c:v>
                </c:pt>
              </c:strCache>
            </c:strRef>
          </c:cat>
          <c:val>
            <c:numRef>
              <c:f>'Pivot Table'!$F$71:$F$74</c:f>
              <c:numCache>
                <c:formatCode>0.00</c:formatCode>
                <c:ptCount val="4"/>
                <c:pt idx="0">
                  <c:v>614672</c:v>
                </c:pt>
                <c:pt idx="1">
                  <c:v>737148</c:v>
                </c:pt>
                <c:pt idx="2">
                  <c:v>535209</c:v>
                </c:pt>
                <c:pt idx="3">
                  <c:v>832282</c:v>
                </c:pt>
              </c:numCache>
            </c:numRef>
          </c:val>
          <c:extLst>
            <c:ext xmlns:c16="http://schemas.microsoft.com/office/drawing/2014/chart" uri="{C3380CC4-5D6E-409C-BE32-E72D297353CC}">
              <c16:uniqueId val="{00000000-5C49-4440-8ECC-DA25260F1743}"/>
            </c:ext>
          </c:extLst>
        </c:ser>
        <c:dLbls>
          <c:showLegendKey val="0"/>
          <c:showVal val="0"/>
          <c:showCatName val="0"/>
          <c:showSerName val="0"/>
          <c:showPercent val="0"/>
          <c:showBubbleSize val="0"/>
        </c:dLbls>
        <c:gapWidth val="182"/>
        <c:axId val="212874496"/>
        <c:axId val="212863456"/>
      </c:barChart>
      <c:catAx>
        <c:axId val="212874496"/>
        <c:scaling>
          <c:orientation val="minMax"/>
        </c:scaling>
        <c:delete val="0"/>
        <c:axPos val="l"/>
        <c:numFmt formatCode="General" sourceLinked="1"/>
        <c:majorTickMark val="out"/>
        <c:minorTickMark val="none"/>
        <c:tickLblPos val="nextTo"/>
        <c:spPr>
          <a:solidFill>
            <a:schemeClr val="tx1">
              <a:lumMod val="85000"/>
              <a:lumOff val="1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863456"/>
        <c:crosses val="autoZero"/>
        <c:auto val="1"/>
        <c:lblAlgn val="ctr"/>
        <c:lblOffset val="100"/>
        <c:noMultiLvlLbl val="0"/>
      </c:catAx>
      <c:valAx>
        <c:axId val="212863456"/>
        <c:scaling>
          <c:orientation val="minMax"/>
        </c:scaling>
        <c:delete val="1"/>
        <c:axPos val="b"/>
        <c:numFmt formatCode="0.00" sourceLinked="1"/>
        <c:majorTickMark val="none"/>
        <c:minorTickMark val="none"/>
        <c:tickLblPos val="nextTo"/>
        <c:crossAx val="212874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Table'!$U$43</c:f>
              <c:strCache>
                <c:ptCount val="1"/>
                <c:pt idx="0">
                  <c:v>Sum of Revenue</c:v>
                </c:pt>
              </c:strCache>
            </c:strRef>
          </c:tx>
          <c:spPr>
            <a:gradFill rotWithShape="1">
              <a:gsLst>
                <a:gs pos="0">
                  <a:schemeClr val="accent6">
                    <a:tint val="73000"/>
                    <a:shade val="100000"/>
                    <a:satMod val="150000"/>
                  </a:schemeClr>
                </a:gs>
                <a:gs pos="25000">
                  <a:schemeClr val="accent6">
                    <a:tint val="96000"/>
                    <a:shade val="80000"/>
                    <a:satMod val="105000"/>
                  </a:schemeClr>
                </a:gs>
                <a:gs pos="38000">
                  <a:schemeClr val="accent6">
                    <a:tint val="96000"/>
                    <a:shade val="59000"/>
                    <a:satMod val="120000"/>
                  </a:schemeClr>
                </a:gs>
                <a:gs pos="55000">
                  <a:schemeClr val="accent6">
                    <a:tint val="100000"/>
                    <a:shade val="57000"/>
                    <a:satMod val="120000"/>
                  </a:schemeClr>
                </a:gs>
                <a:gs pos="80000">
                  <a:schemeClr val="accent6">
                    <a:tint val="100000"/>
                    <a:shade val="56000"/>
                    <a:satMod val="145000"/>
                  </a:schemeClr>
                </a:gs>
                <a:gs pos="88000">
                  <a:schemeClr val="accent6">
                    <a:tint val="100000"/>
                    <a:shade val="63000"/>
                    <a:satMod val="160000"/>
                  </a:schemeClr>
                </a:gs>
                <a:gs pos="100000">
                  <a:schemeClr val="accent6">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invertIfNegative val="0"/>
          <c:cat>
            <c:strRef>
              <c:f>'Pivot Table'!$T$44:$T$55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Table'!$U$44:$U$55</c:f>
              <c:numCache>
                <c:formatCode>\$\ 0.00,\ \K</c:formatCode>
                <c:ptCount val="12"/>
                <c:pt idx="0">
                  <c:v>307336</c:v>
                </c:pt>
                <c:pt idx="1">
                  <c:v>323540</c:v>
                </c:pt>
                <c:pt idx="2">
                  <c:v>277426</c:v>
                </c:pt>
                <c:pt idx="3">
                  <c:v>373345</c:v>
                </c:pt>
                <c:pt idx="4">
                  <c:v>589545</c:v>
                </c:pt>
                <c:pt idx="5">
                  <c:v>469360</c:v>
                </c:pt>
                <c:pt idx="6">
                  <c:v>266165</c:v>
                </c:pt>
                <c:pt idx="7">
                  <c:v>115788</c:v>
                </c:pt>
                <c:pt idx="8">
                  <c:v>155796</c:v>
                </c:pt>
                <c:pt idx="9">
                  <c:v>283905</c:v>
                </c:pt>
                <c:pt idx="10">
                  <c:v>270010</c:v>
                </c:pt>
                <c:pt idx="11">
                  <c:v>260688</c:v>
                </c:pt>
              </c:numCache>
            </c:numRef>
          </c:val>
          <c:extLst>
            <c:ext xmlns:c16="http://schemas.microsoft.com/office/drawing/2014/chart" uri="{C3380CC4-5D6E-409C-BE32-E72D297353CC}">
              <c16:uniqueId val="{00000000-BCC9-48FA-BB5F-402424F4DF74}"/>
            </c:ext>
          </c:extLst>
        </c:ser>
        <c:dLbls>
          <c:showLegendKey val="0"/>
          <c:showVal val="0"/>
          <c:showCatName val="0"/>
          <c:showSerName val="0"/>
          <c:showPercent val="0"/>
          <c:showBubbleSize val="0"/>
        </c:dLbls>
        <c:gapWidth val="269"/>
        <c:overlap val="-27"/>
        <c:axId val="737178095"/>
        <c:axId val="737188175"/>
      </c:barChart>
      <c:lineChart>
        <c:grouping val="stacked"/>
        <c:varyColors val="0"/>
        <c:ser>
          <c:idx val="1"/>
          <c:order val="1"/>
          <c:tx>
            <c:strRef>
              <c:f>'Pivot Table'!$V$43</c:f>
              <c:strCache>
                <c:ptCount val="1"/>
                <c:pt idx="0">
                  <c:v>Sum of Quantity Sold</c:v>
                </c:pt>
              </c:strCache>
            </c:strRef>
          </c:tx>
          <c:spPr>
            <a:ln w="34925" cap="rnd">
              <a:solidFill>
                <a:schemeClr val="accent5"/>
              </a:solidFill>
              <a:round/>
            </a:ln>
            <a:effectLst>
              <a:glow rad="50800">
                <a:scrgbClr r="0" g="0" b="0">
                  <a:tint val="68000"/>
                  <a:shade val="93000"/>
                  <a:alpha val="37000"/>
                  <a:satMod val="250000"/>
                </a:scrgbClr>
              </a:glow>
            </a:effectLst>
          </c:spPr>
          <c:marker>
            <c:symbol val="circle"/>
            <c:size val="6"/>
            <c:spPr>
              <a:gradFill rotWithShape="1">
                <a:gsLst>
                  <a:gs pos="0">
                    <a:schemeClr val="accent5">
                      <a:tint val="73000"/>
                      <a:shade val="100000"/>
                      <a:satMod val="150000"/>
                    </a:schemeClr>
                  </a:gs>
                  <a:gs pos="25000">
                    <a:schemeClr val="accent5">
                      <a:tint val="96000"/>
                      <a:shade val="80000"/>
                      <a:satMod val="105000"/>
                    </a:schemeClr>
                  </a:gs>
                  <a:gs pos="38000">
                    <a:schemeClr val="accent5">
                      <a:tint val="96000"/>
                      <a:shade val="59000"/>
                      <a:satMod val="120000"/>
                    </a:schemeClr>
                  </a:gs>
                  <a:gs pos="55000">
                    <a:schemeClr val="accent5">
                      <a:tint val="100000"/>
                      <a:shade val="57000"/>
                      <a:satMod val="120000"/>
                    </a:schemeClr>
                  </a:gs>
                  <a:gs pos="80000">
                    <a:schemeClr val="accent5">
                      <a:tint val="100000"/>
                      <a:shade val="56000"/>
                      <a:satMod val="145000"/>
                    </a:schemeClr>
                  </a:gs>
                  <a:gs pos="88000">
                    <a:schemeClr val="accent5">
                      <a:tint val="100000"/>
                      <a:shade val="63000"/>
                      <a:satMod val="160000"/>
                    </a:schemeClr>
                  </a:gs>
                  <a:gs pos="100000">
                    <a:schemeClr val="accent5">
                      <a:tint val="99000"/>
                      <a:shade val="100000"/>
                      <a:satMod val="155000"/>
                    </a:schemeClr>
                  </a:gs>
                </a:gsLst>
                <a:lin ang="5400000" scaled="0"/>
              </a:gradFill>
              <a:ln w="9525">
                <a:solidFill>
                  <a:schemeClr val="accent5"/>
                </a:solidFill>
                <a:round/>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cat>
            <c:strRef>
              <c:f>'Pivot Table'!$T$44:$T$55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Table'!$V$44:$V$55</c:f>
              <c:numCache>
                <c:formatCode>General</c:formatCode>
                <c:ptCount val="12"/>
                <c:pt idx="0">
                  <c:v>1964</c:v>
                </c:pt>
                <c:pt idx="1">
                  <c:v>2670</c:v>
                </c:pt>
                <c:pt idx="2">
                  <c:v>2960</c:v>
                </c:pt>
                <c:pt idx="3">
                  <c:v>4696</c:v>
                </c:pt>
                <c:pt idx="4">
                  <c:v>7594</c:v>
                </c:pt>
                <c:pt idx="5">
                  <c:v>5999</c:v>
                </c:pt>
                <c:pt idx="6">
                  <c:v>3530</c:v>
                </c:pt>
                <c:pt idx="7">
                  <c:v>1454</c:v>
                </c:pt>
                <c:pt idx="8">
                  <c:v>1289</c:v>
                </c:pt>
                <c:pt idx="9">
                  <c:v>2007</c:v>
                </c:pt>
                <c:pt idx="10">
                  <c:v>1679</c:v>
                </c:pt>
                <c:pt idx="11">
                  <c:v>1682</c:v>
                </c:pt>
              </c:numCache>
            </c:numRef>
          </c:val>
          <c:smooth val="0"/>
          <c:extLst>
            <c:ext xmlns:c16="http://schemas.microsoft.com/office/drawing/2014/chart" uri="{C3380CC4-5D6E-409C-BE32-E72D297353CC}">
              <c16:uniqueId val="{00000001-BCC9-48FA-BB5F-402424F4DF74}"/>
            </c:ext>
          </c:extLst>
        </c:ser>
        <c:dLbls>
          <c:showLegendKey val="0"/>
          <c:showVal val="0"/>
          <c:showCatName val="0"/>
          <c:showSerName val="0"/>
          <c:showPercent val="0"/>
          <c:showBubbleSize val="0"/>
        </c:dLbls>
        <c:marker val="1"/>
        <c:smooth val="0"/>
        <c:axId val="737189135"/>
        <c:axId val="737193935"/>
      </c:lineChart>
      <c:catAx>
        <c:axId val="7371780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7188175"/>
        <c:crosses val="autoZero"/>
        <c:auto val="1"/>
        <c:lblAlgn val="ctr"/>
        <c:lblOffset val="100"/>
        <c:noMultiLvlLbl val="0"/>
      </c:catAx>
      <c:valAx>
        <c:axId val="737188175"/>
        <c:scaling>
          <c:orientation val="minMax"/>
        </c:scaling>
        <c:delete val="0"/>
        <c:axPos val="l"/>
        <c:numFmt formatCode="\$\ 0.00,\ \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7178095"/>
        <c:crosses val="autoZero"/>
        <c:crossBetween val="between"/>
      </c:valAx>
      <c:valAx>
        <c:axId val="73719393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7189135"/>
        <c:crosses val="max"/>
        <c:crossBetween val="between"/>
      </c:valAx>
      <c:catAx>
        <c:axId val="737189135"/>
        <c:scaling>
          <c:orientation val="minMax"/>
        </c:scaling>
        <c:delete val="1"/>
        <c:axPos val="b"/>
        <c:numFmt formatCode="General" sourceLinked="1"/>
        <c:majorTickMark val="none"/>
        <c:minorTickMark val="none"/>
        <c:tickLblPos val="nextTo"/>
        <c:crossAx val="73719393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629292590468566E-3"/>
          <c:y val="1.1928556400468877E-2"/>
          <c:w val="0.98282242444571888"/>
          <c:h val="0.87953191217576865"/>
        </c:manualLayout>
      </c:layout>
      <c:lineChart>
        <c:grouping val="standard"/>
        <c:varyColors val="0"/>
        <c:ser>
          <c:idx val="0"/>
          <c:order val="0"/>
          <c:tx>
            <c:strRef>
              <c:f>'Pivot Table'!$Q$58</c:f>
              <c:strCache>
                <c:ptCount val="1"/>
                <c:pt idx="0">
                  <c:v>Sum of Revenue</c:v>
                </c:pt>
              </c:strCache>
            </c:strRef>
          </c:tx>
          <c:spPr>
            <a:ln w="25400" cap="rnd">
              <a:solidFill>
                <a:schemeClr val="lt1"/>
              </a:solidFill>
              <a:round/>
            </a:ln>
            <a:effectLst>
              <a:outerShdw dist="25400" dir="2700000" algn="tl" rotWithShape="0">
                <a:schemeClr val="accent1"/>
              </a:outerShdw>
            </a:effectLst>
          </c:spPr>
          <c:marker>
            <c:symbol val="none"/>
          </c:marker>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Table'!$P$59:$P$70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Table'!$Q$59:$Q$70</c:f>
              <c:numCache>
                <c:formatCode>\$\ 0.0,\ \K</c:formatCode>
                <c:ptCount val="12"/>
                <c:pt idx="0">
                  <c:v>307336</c:v>
                </c:pt>
                <c:pt idx="1">
                  <c:v>323540</c:v>
                </c:pt>
                <c:pt idx="2">
                  <c:v>277426</c:v>
                </c:pt>
                <c:pt idx="3">
                  <c:v>373345</c:v>
                </c:pt>
                <c:pt idx="4">
                  <c:v>589545</c:v>
                </c:pt>
                <c:pt idx="5">
                  <c:v>469360</c:v>
                </c:pt>
                <c:pt idx="6">
                  <c:v>266165</c:v>
                </c:pt>
                <c:pt idx="7">
                  <c:v>115788</c:v>
                </c:pt>
                <c:pt idx="8">
                  <c:v>155796</c:v>
                </c:pt>
                <c:pt idx="9">
                  <c:v>283905</c:v>
                </c:pt>
                <c:pt idx="10">
                  <c:v>270010</c:v>
                </c:pt>
                <c:pt idx="11">
                  <c:v>260688</c:v>
                </c:pt>
              </c:numCache>
            </c:numRef>
          </c:val>
          <c:smooth val="0"/>
          <c:extLst>
            <c:ext xmlns:c16="http://schemas.microsoft.com/office/drawing/2014/chart" uri="{C3380CC4-5D6E-409C-BE32-E72D297353CC}">
              <c16:uniqueId val="{00000000-EBAF-4EE1-BA35-BCD157462BEA}"/>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17965295"/>
        <c:axId val="117964815"/>
      </c:lineChart>
      <c:catAx>
        <c:axId val="117965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17964815"/>
        <c:crosses val="autoZero"/>
        <c:auto val="1"/>
        <c:lblAlgn val="ctr"/>
        <c:lblOffset val="100"/>
        <c:noMultiLvlLbl val="0"/>
      </c:catAx>
      <c:valAx>
        <c:axId val="117964815"/>
        <c:scaling>
          <c:orientation val="minMax"/>
        </c:scaling>
        <c:delete val="1"/>
        <c:axPos val="l"/>
        <c:numFmt formatCode="\$\ 0.0,\ \K" sourceLinked="1"/>
        <c:majorTickMark val="none"/>
        <c:minorTickMark val="none"/>
        <c:tickLblPos val="nextTo"/>
        <c:crossAx val="117965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IN"/>
              <a:t> Revenue,Page View By Month</a:t>
            </a:r>
          </a:p>
        </c:rich>
      </c:tx>
      <c:layout>
        <c:manualLayout>
          <c:xMode val="edge"/>
          <c:yMode val="edge"/>
          <c:x val="9.0253076320707878E-3"/>
          <c:y val="1.300393610876019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lotArea>
      <c:layout>
        <c:manualLayout>
          <c:layoutTarget val="inner"/>
          <c:xMode val="edge"/>
          <c:yMode val="edge"/>
          <c:x val="3.628843591840817E-2"/>
          <c:y val="0.319744066570327"/>
          <c:w val="0.92358037677424909"/>
          <c:h val="0.53822209172227309"/>
        </c:manualLayout>
      </c:layout>
      <c:scatterChart>
        <c:scatterStyle val="smoothMarker"/>
        <c:varyColors val="0"/>
        <c:ser>
          <c:idx val="0"/>
          <c:order val="0"/>
          <c:tx>
            <c:strRef>
              <c:f>'Pivot Table'!$X$96</c:f>
              <c:strCache>
                <c:ptCount val="1"/>
                <c:pt idx="0">
                  <c:v>Sum of Revenue</c:v>
                </c:pt>
              </c:strCache>
            </c:strRef>
          </c:tx>
          <c:spPr>
            <a:ln w="9525" cap="rnd">
              <a:solidFill>
                <a:schemeClr val="accent1"/>
              </a:solidFill>
              <a:round/>
            </a:ln>
            <a:effectLst>
              <a:glow rad="50800">
                <a:scrgbClr r="0" g="0" b="0">
                  <a:tint val="68000"/>
                  <a:shade val="93000"/>
                  <a:alpha val="37000"/>
                  <a:satMod val="250000"/>
                </a:scrgbClr>
              </a:glow>
            </a:effectLst>
          </c:spPr>
          <c:marker>
            <c:symbol val="circle"/>
            <c:size val="6"/>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w="9525" cap="rnd">
                <a:solidFill>
                  <a:schemeClr val="accent1"/>
                </a:solidFill>
                <a:round/>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xVal>
            <c:strRef>
              <c:f>'Pivot Table'!$V$99:$V$108</c:f>
              <c:strCache>
                <c:ptCount val="10"/>
                <c:pt idx="0">
                  <c:v>Mar</c:v>
                </c:pt>
                <c:pt idx="1">
                  <c:v>Apr</c:v>
                </c:pt>
                <c:pt idx="2">
                  <c:v>May</c:v>
                </c:pt>
                <c:pt idx="3">
                  <c:v>Jun</c:v>
                </c:pt>
                <c:pt idx="4">
                  <c:v>Jul</c:v>
                </c:pt>
                <c:pt idx="5">
                  <c:v>Aug</c:v>
                </c:pt>
                <c:pt idx="6">
                  <c:v>Sep</c:v>
                </c:pt>
                <c:pt idx="7">
                  <c:v>Oct</c:v>
                </c:pt>
                <c:pt idx="8">
                  <c:v>Nov</c:v>
                </c:pt>
                <c:pt idx="9">
                  <c:v>Dec</c:v>
                </c:pt>
              </c:strCache>
            </c:strRef>
          </c:xVal>
          <c:yVal>
            <c:numRef>
              <c:f>'Pivot Table'!$X$99:$X$108</c:f>
              <c:numCache>
                <c:formatCode>General</c:formatCode>
                <c:ptCount val="10"/>
                <c:pt idx="0">
                  <c:v>277426</c:v>
                </c:pt>
                <c:pt idx="1">
                  <c:v>373345</c:v>
                </c:pt>
                <c:pt idx="2">
                  <c:v>589545</c:v>
                </c:pt>
                <c:pt idx="3">
                  <c:v>469360</c:v>
                </c:pt>
                <c:pt idx="4">
                  <c:v>266165</c:v>
                </c:pt>
                <c:pt idx="5">
                  <c:v>115788</c:v>
                </c:pt>
                <c:pt idx="6">
                  <c:v>155796</c:v>
                </c:pt>
                <c:pt idx="7">
                  <c:v>283905</c:v>
                </c:pt>
                <c:pt idx="8">
                  <c:v>270010</c:v>
                </c:pt>
                <c:pt idx="9">
                  <c:v>260688</c:v>
                </c:pt>
              </c:numCache>
            </c:numRef>
          </c:yVal>
          <c:smooth val="1"/>
          <c:extLst>
            <c:ext xmlns:c16="http://schemas.microsoft.com/office/drawing/2014/chart" uri="{C3380CC4-5D6E-409C-BE32-E72D297353CC}">
              <c16:uniqueId val="{00000000-55FD-4EB5-8CA4-DE5344E4893A}"/>
            </c:ext>
          </c:extLst>
        </c:ser>
        <c:ser>
          <c:idx val="1"/>
          <c:order val="1"/>
          <c:tx>
            <c:strRef>
              <c:f>'Pivot Table'!$Y$96</c:f>
              <c:strCache>
                <c:ptCount val="1"/>
                <c:pt idx="0">
                  <c:v>Sum of Pageviews</c:v>
                </c:pt>
              </c:strCache>
            </c:strRef>
          </c:tx>
          <c:spPr>
            <a:ln w="9525" cap="rnd">
              <a:solidFill>
                <a:schemeClr val="accent2"/>
              </a:solidFill>
              <a:round/>
            </a:ln>
            <a:effectLst>
              <a:glow rad="50800">
                <a:scrgbClr r="0" g="0" b="0">
                  <a:tint val="68000"/>
                  <a:shade val="93000"/>
                  <a:alpha val="37000"/>
                  <a:satMod val="250000"/>
                </a:scrgbClr>
              </a:glow>
            </a:effectLst>
          </c:spPr>
          <c:marker>
            <c:symbol val="circle"/>
            <c:size val="6"/>
            <c:spPr>
              <a:gradFill rotWithShape="1">
                <a:gsLst>
                  <a:gs pos="0">
                    <a:schemeClr val="accent2">
                      <a:tint val="73000"/>
                      <a:shade val="100000"/>
                      <a:satMod val="150000"/>
                    </a:schemeClr>
                  </a:gs>
                  <a:gs pos="25000">
                    <a:schemeClr val="accent2">
                      <a:tint val="96000"/>
                      <a:shade val="80000"/>
                      <a:satMod val="105000"/>
                    </a:schemeClr>
                  </a:gs>
                  <a:gs pos="38000">
                    <a:schemeClr val="accent2">
                      <a:tint val="96000"/>
                      <a:shade val="59000"/>
                      <a:satMod val="120000"/>
                    </a:schemeClr>
                  </a:gs>
                  <a:gs pos="55000">
                    <a:schemeClr val="accent2">
                      <a:tint val="100000"/>
                      <a:shade val="57000"/>
                      <a:satMod val="120000"/>
                    </a:schemeClr>
                  </a:gs>
                  <a:gs pos="80000">
                    <a:schemeClr val="accent2">
                      <a:tint val="100000"/>
                      <a:shade val="56000"/>
                      <a:satMod val="145000"/>
                    </a:schemeClr>
                  </a:gs>
                  <a:gs pos="88000">
                    <a:schemeClr val="accent2">
                      <a:tint val="100000"/>
                      <a:shade val="63000"/>
                      <a:satMod val="160000"/>
                    </a:schemeClr>
                  </a:gs>
                  <a:gs pos="100000">
                    <a:schemeClr val="accent2">
                      <a:tint val="99000"/>
                      <a:shade val="100000"/>
                      <a:satMod val="155000"/>
                    </a:schemeClr>
                  </a:gs>
                </a:gsLst>
                <a:lin ang="5400000" scaled="0"/>
              </a:gradFill>
              <a:ln w="9525" cap="rnd">
                <a:solidFill>
                  <a:schemeClr val="accent2"/>
                </a:solidFill>
                <a:round/>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xVal>
            <c:strRef>
              <c:f>'Pivot Table'!$V$99:$V$108</c:f>
              <c:strCache>
                <c:ptCount val="10"/>
                <c:pt idx="0">
                  <c:v>Mar</c:v>
                </c:pt>
                <c:pt idx="1">
                  <c:v>Apr</c:v>
                </c:pt>
                <c:pt idx="2">
                  <c:v>May</c:v>
                </c:pt>
                <c:pt idx="3">
                  <c:v>Jun</c:v>
                </c:pt>
                <c:pt idx="4">
                  <c:v>Jul</c:v>
                </c:pt>
                <c:pt idx="5">
                  <c:v>Aug</c:v>
                </c:pt>
                <c:pt idx="6">
                  <c:v>Sep</c:v>
                </c:pt>
                <c:pt idx="7">
                  <c:v>Oct</c:v>
                </c:pt>
                <c:pt idx="8">
                  <c:v>Nov</c:v>
                </c:pt>
                <c:pt idx="9">
                  <c:v>Dec</c:v>
                </c:pt>
              </c:strCache>
            </c:strRef>
          </c:xVal>
          <c:yVal>
            <c:numRef>
              <c:f>'Pivot Table'!$Y$99:$Y$108</c:f>
              <c:numCache>
                <c:formatCode>General</c:formatCode>
                <c:ptCount val="10"/>
                <c:pt idx="0">
                  <c:v>719089</c:v>
                </c:pt>
                <c:pt idx="1">
                  <c:v>873869</c:v>
                </c:pt>
                <c:pt idx="2">
                  <c:v>1409063</c:v>
                </c:pt>
                <c:pt idx="3">
                  <c:v>958358</c:v>
                </c:pt>
                <c:pt idx="4">
                  <c:v>640200</c:v>
                </c:pt>
                <c:pt idx="5">
                  <c:v>428639</c:v>
                </c:pt>
                <c:pt idx="6">
                  <c:v>861397</c:v>
                </c:pt>
                <c:pt idx="7">
                  <c:v>1035811</c:v>
                </c:pt>
                <c:pt idx="8">
                  <c:v>1169121</c:v>
                </c:pt>
                <c:pt idx="9">
                  <c:v>1044709</c:v>
                </c:pt>
              </c:numCache>
            </c:numRef>
          </c:yVal>
          <c:smooth val="1"/>
          <c:extLst>
            <c:ext xmlns:c16="http://schemas.microsoft.com/office/drawing/2014/chart" uri="{C3380CC4-5D6E-409C-BE32-E72D297353CC}">
              <c16:uniqueId val="{00000001-55FD-4EB5-8CA4-DE5344E4893A}"/>
            </c:ext>
          </c:extLst>
        </c:ser>
        <c:dLbls>
          <c:showLegendKey val="0"/>
          <c:showVal val="0"/>
          <c:showCatName val="0"/>
          <c:showSerName val="0"/>
          <c:showPercent val="0"/>
          <c:showBubbleSize val="0"/>
        </c:dLbls>
        <c:axId val="1238796304"/>
        <c:axId val="1238794864"/>
      </c:scatterChart>
      <c:valAx>
        <c:axId val="1238796304"/>
        <c:scaling>
          <c:orientation val="minMax"/>
        </c:scaling>
        <c:delete val="1"/>
        <c:axPos val="b"/>
        <c:numFmt formatCode="General" sourceLinked="1"/>
        <c:majorTickMark val="out"/>
        <c:minorTickMark val="none"/>
        <c:tickLblPos val="nextTo"/>
        <c:crossAx val="1238794864"/>
        <c:crosses val="autoZero"/>
        <c:crossBetween val="midCat"/>
      </c:valAx>
      <c:valAx>
        <c:axId val="1238794864"/>
        <c:scaling>
          <c:orientation val="minMax"/>
        </c:scaling>
        <c:delete val="1"/>
        <c:axPos val="l"/>
        <c:numFmt formatCode="General" sourceLinked="1"/>
        <c:majorTickMark val="out"/>
        <c:minorTickMark val="none"/>
        <c:tickLblPos val="nextTo"/>
        <c:crossAx val="1238796304"/>
        <c:crosses val="autoZero"/>
        <c:crossBetween val="midCat"/>
      </c:valAx>
      <c:spPr>
        <a:noFill/>
        <a:ln>
          <a:noFill/>
        </a:ln>
        <a:effectLst/>
      </c:spPr>
    </c:plotArea>
    <c:legend>
      <c:legendPos val="r"/>
      <c:layout>
        <c:manualLayout>
          <c:xMode val="edge"/>
          <c:yMode val="edge"/>
          <c:x val="6.6714093464240809E-3"/>
          <c:y val="0.8265220781524536"/>
          <c:w val="0.68837547688122824"/>
          <c:h val="0.162401436090646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D855263A-9C72-416C-AA90-5E5AAE809DA5}">
          <cx:tx>
            <cx:txData>
              <cx:f>_xlchart.v1.2</cx:f>
              <cx:v>Average of Revenue Per Session</cx:v>
            </cx:txData>
          </cx:tx>
          <cx:spPr>
            <a:ln>
              <a:solidFill>
                <a:schemeClr val="accent1">
                  <a:shade val="15000"/>
                  <a:tint val="90000"/>
                  <a:satMod val="130000"/>
                </a:schemeClr>
              </a:solidFill>
            </a:ln>
          </cx:spPr>
          <cx:dataLabels pos="inEnd">
            <cx:txPr>
              <a:bodyPr spcFirstLastPara="1" vertOverflow="ellipsis" horzOverflow="overflow" wrap="square" lIns="0" tIns="0" rIns="0" bIns="0" anchor="ctr" anchorCtr="1"/>
              <a:lstStyle/>
              <a:p>
                <a:pPr algn="ctr" rtl="0">
                  <a:defRPr sz="1200">
                    <a:solidFill>
                      <a:schemeClr val="bg1"/>
                    </a:solidFill>
                  </a:defRPr>
                </a:pPr>
                <a:endParaRPr lang="en-US" sz="1200" b="0" i="0" u="none" strike="noStrike" baseline="0">
                  <a:solidFill>
                    <a:schemeClr val="bg1"/>
                  </a:solidFill>
                  <a:latin typeface="Calibri" panose="020F0502020204030204"/>
                </a:endParaRPr>
              </a:p>
            </cx:txPr>
            <cx:visibility seriesName="0" categoryName="1" value="0"/>
          </cx:dataLabels>
          <cx:dataId val="0"/>
          <cx:layoutPr>
            <cx:parentLabelLayout val="overlapping"/>
          </cx:layoutPr>
        </cx:series>
      </cx:plotAreaRegion>
    </cx:plotArea>
  </cx:chart>
  <cx:spPr>
    <a:solidFill>
      <a:schemeClr val="tx1">
        <a:lumMod val="85000"/>
        <a:lumOff val="15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14">
  <cs:axisTitle>
    <cs:lnRef idx="0"/>
    <cs:fillRef idx="0"/>
    <cs:effectRef idx="0"/>
    <cs:fontRef idx="major">
      <a:schemeClr val="dk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4.xml"/><Relationship Id="rId7" Type="http://schemas.openxmlformats.org/officeDocument/2006/relationships/chart" Target="../charts/chart7.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microsoft.com/office/2014/relationships/chartEx" Target="../charts/chartEx1.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0</xdr:colOff>
      <xdr:row>101</xdr:row>
      <xdr:rowOff>0</xdr:rowOff>
    </xdr:from>
    <xdr:to>
      <xdr:col>9</xdr:col>
      <xdr:colOff>724388</xdr:colOff>
      <xdr:row>111</xdr:row>
      <xdr:rowOff>171583</xdr:rowOff>
    </xdr:to>
    <xdr:graphicFrame macro="">
      <xdr:nvGraphicFramePr>
        <xdr:cNvPr id="3" name="Diagram 4">
          <a:extLst>
            <a:ext uri="{FF2B5EF4-FFF2-40B4-BE49-F238E27FC236}">
              <a16:creationId xmlns:a16="http://schemas.microsoft.com/office/drawing/2014/main" id="{D5C9ACD3-D99A-54FD-6A06-DD7E7ECAC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764740</xdr:colOff>
      <xdr:row>102</xdr:row>
      <xdr:rowOff>106883</xdr:rowOff>
    </xdr:from>
    <xdr:to>
      <xdr:col>12</xdr:col>
      <xdr:colOff>1176508</xdr:colOff>
      <xdr:row>107</xdr:row>
      <xdr:rowOff>1979</xdr:rowOff>
    </xdr:to>
    <xdr:sp macro="" textlink="[1]Calculations!O4">
      <xdr:nvSpPr>
        <xdr:cNvPr id="5" name="TextBox 4">
          <a:extLst>
            <a:ext uri="{FF2B5EF4-FFF2-40B4-BE49-F238E27FC236}">
              <a16:creationId xmlns:a16="http://schemas.microsoft.com/office/drawing/2014/main" id="{0E439754-3F6E-D74A-FD9F-4439B5135F4E}"/>
            </a:ext>
          </a:extLst>
        </xdr:cNvPr>
        <xdr:cNvSpPr txBox="1"/>
      </xdr:nvSpPr>
      <xdr:spPr>
        <a:xfrm>
          <a:off x="12367922" y="19537883"/>
          <a:ext cx="1693313" cy="847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D8E84E-06E9-4848-B76D-6EBF3B7ACC58}" type="TxLink">
            <a:rPr lang="en-US" sz="3600" b="0" i="0" u="none" strike="noStrike">
              <a:solidFill>
                <a:schemeClr val="bg1"/>
              </a:solidFill>
              <a:latin typeface="Bahnschrift" panose="020B0502040204020203" pitchFamily="34" charset="0"/>
              <a:cs typeface="Calibri"/>
            </a:rPr>
            <a:pPr algn="ctr"/>
            <a:t>693</a:t>
          </a:fld>
          <a:endParaRPr lang="en-US" sz="3600">
            <a:solidFill>
              <a:schemeClr val="bg1"/>
            </a:solidFill>
            <a:latin typeface="Bahnschrift" panose="020B05020402040202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0</xdr:row>
      <xdr:rowOff>190499</xdr:rowOff>
    </xdr:from>
    <xdr:to>
      <xdr:col>9</xdr:col>
      <xdr:colOff>1216270</xdr:colOff>
      <xdr:row>4</xdr:row>
      <xdr:rowOff>28574</xdr:rowOff>
    </xdr:to>
    <xdr:sp macro="" textlink="">
      <xdr:nvSpPr>
        <xdr:cNvPr id="2" name="Speech Bubble: Rectangle 1">
          <a:extLst>
            <a:ext uri="{FF2B5EF4-FFF2-40B4-BE49-F238E27FC236}">
              <a16:creationId xmlns:a16="http://schemas.microsoft.com/office/drawing/2014/main" id="{4E99D154-0136-E055-007E-F9C3DAEFC9B0}"/>
            </a:ext>
          </a:extLst>
        </xdr:cNvPr>
        <xdr:cNvSpPr/>
      </xdr:nvSpPr>
      <xdr:spPr>
        <a:xfrm>
          <a:off x="9744808" y="190499"/>
          <a:ext cx="1824404" cy="600075"/>
        </a:xfrm>
        <a:prstGeom prst="wedgeRectCallou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rgbClr val="FF0000"/>
              </a:solidFill>
            </a:rPr>
            <a:t>YOY Metrics</a:t>
          </a:r>
        </a:p>
        <a:p>
          <a:pPr algn="ctr"/>
          <a:endParaRPr lang="en-IN" sz="1800">
            <a:solidFill>
              <a:srgbClr val="FF0000"/>
            </a:solidFill>
          </a:endParaRPr>
        </a:p>
      </xdr:txBody>
    </xdr:sp>
    <xdr:clientData/>
  </xdr:twoCellAnchor>
  <xdr:twoCellAnchor>
    <xdr:from>
      <xdr:col>1</xdr:col>
      <xdr:colOff>38100</xdr:colOff>
      <xdr:row>7</xdr:row>
      <xdr:rowOff>0</xdr:rowOff>
    </xdr:from>
    <xdr:to>
      <xdr:col>3</xdr:col>
      <xdr:colOff>800100</xdr:colOff>
      <xdr:row>17</xdr:row>
      <xdr:rowOff>38100</xdr:rowOff>
    </xdr:to>
    <xdr:graphicFrame macro="">
      <xdr:nvGraphicFramePr>
        <xdr:cNvPr id="4" name="Chart 3">
          <a:extLst>
            <a:ext uri="{FF2B5EF4-FFF2-40B4-BE49-F238E27FC236}">
              <a16:creationId xmlns:a16="http://schemas.microsoft.com/office/drawing/2014/main" id="{38287881-FE89-CD1F-2FE1-6CE18D996F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390525</xdr:colOff>
      <xdr:row>8</xdr:row>
      <xdr:rowOff>142874</xdr:rowOff>
    </xdr:from>
    <xdr:to>
      <xdr:col>2</xdr:col>
      <xdr:colOff>1019175</xdr:colOff>
      <xdr:row>15</xdr:row>
      <xdr:rowOff>85725</xdr:rowOff>
    </xdr:to>
    <xdr:grpSp>
      <xdr:nvGrpSpPr>
        <xdr:cNvPr id="5" name="Group 4">
          <a:extLst>
            <a:ext uri="{FF2B5EF4-FFF2-40B4-BE49-F238E27FC236}">
              <a16:creationId xmlns:a16="http://schemas.microsoft.com/office/drawing/2014/main" id="{AD778C24-C84C-EE3B-B757-140A81988F6F}"/>
            </a:ext>
          </a:extLst>
        </xdr:cNvPr>
        <xdr:cNvGrpSpPr/>
      </xdr:nvGrpSpPr>
      <xdr:grpSpPr>
        <a:xfrm>
          <a:off x="995759" y="1700608"/>
          <a:ext cx="1511697" cy="1262461"/>
          <a:chOff x="33106181" y="8240486"/>
          <a:chExt cx="1524000" cy="1497415"/>
        </a:xfrm>
      </xdr:grpSpPr>
      <xdr:sp macro="" textlink="">
        <xdr:nvSpPr>
          <xdr:cNvPr id="6" name="Овал 19">
            <a:extLst>
              <a:ext uri="{FF2B5EF4-FFF2-40B4-BE49-F238E27FC236}">
                <a16:creationId xmlns:a16="http://schemas.microsoft.com/office/drawing/2014/main" id="{EB164D6C-3DB0-B0A6-E44B-7DB6F1324074}"/>
              </a:ext>
            </a:extLst>
          </xdr:cNvPr>
          <xdr:cNvSpPr/>
        </xdr:nvSpPr>
        <xdr:spPr>
          <a:xfrm>
            <a:off x="33204153" y="8240486"/>
            <a:ext cx="1413471" cy="1497415"/>
          </a:xfrm>
          <a:prstGeom prst="ellipse">
            <a:avLst/>
          </a:prstGeom>
          <a:gradFill flip="none" rotWithShape="1">
            <a:gsLst>
              <a:gs pos="0">
                <a:schemeClr val="tx1">
                  <a:lumMod val="85000"/>
                  <a:lumOff val="15000"/>
                </a:schemeClr>
              </a:gs>
              <a:gs pos="56000">
                <a:schemeClr val="tx1">
                  <a:lumMod val="89000"/>
                  <a:lumOff val="11000"/>
                </a:schemeClr>
              </a:gs>
              <a:gs pos="100000">
                <a:schemeClr val="accent1">
                  <a:lumMod val="30000"/>
                  <a:lumOff val="70000"/>
                  <a:alpha val="15000"/>
                </a:scheme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a:solidFill>
                <a:schemeClr val="bg2"/>
              </a:solidFill>
            </a:endParaRPr>
          </a:p>
        </xdr:txBody>
      </xdr:sp>
      <xdr:sp macro="" textlink="'Pivot Table'!S89">
        <xdr:nvSpPr>
          <xdr:cNvPr id="7" name="TextBox 6">
            <a:extLst>
              <a:ext uri="{FF2B5EF4-FFF2-40B4-BE49-F238E27FC236}">
                <a16:creationId xmlns:a16="http://schemas.microsoft.com/office/drawing/2014/main" id="{E239B1AC-5AAF-27E5-99CD-C1E495A17D38}"/>
              </a:ext>
            </a:extLst>
          </xdr:cNvPr>
          <xdr:cNvSpPr txBox="1"/>
        </xdr:nvSpPr>
        <xdr:spPr>
          <a:xfrm>
            <a:off x="33106181" y="8626928"/>
            <a:ext cx="1524000" cy="748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FDB5D5-360F-45F7-B825-69504AAE7F29}" type="TxLink">
              <a:rPr lang="en-US" sz="2000" b="1" i="0" u="none" strike="noStrike">
                <a:solidFill>
                  <a:schemeClr val="bg1"/>
                </a:solidFill>
                <a:latin typeface="Calibri"/>
                <a:cs typeface="Calibri"/>
              </a:rPr>
              <a:pPr algn="ctr"/>
              <a:t>10876.04 K</a:t>
            </a:fld>
            <a:endParaRPr lang="en-US" sz="2000" b="1">
              <a:solidFill>
                <a:schemeClr val="bg1"/>
              </a:solidFill>
            </a:endParaRPr>
          </a:p>
        </xdr:txBody>
      </xdr:sp>
    </xdr:grpSp>
    <xdr:clientData/>
  </xdr:twoCellAnchor>
  <xdr:twoCellAnchor>
    <xdr:from>
      <xdr:col>6</xdr:col>
      <xdr:colOff>57150</xdr:colOff>
      <xdr:row>6</xdr:row>
      <xdr:rowOff>152400</xdr:rowOff>
    </xdr:from>
    <xdr:to>
      <xdr:col>7</xdr:col>
      <xdr:colOff>1314450</xdr:colOff>
      <xdr:row>17</xdr:row>
      <xdr:rowOff>28575</xdr:rowOff>
    </xdr:to>
    <xdr:graphicFrame macro="">
      <xdr:nvGraphicFramePr>
        <xdr:cNvPr id="10" name="Chart 9">
          <a:extLst>
            <a:ext uri="{FF2B5EF4-FFF2-40B4-BE49-F238E27FC236}">
              <a16:creationId xmlns:a16="http://schemas.microsoft.com/office/drawing/2014/main" id="{CCE3BD89-D01A-4211-87DB-CE944F786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xdr:colOff>
      <xdr:row>5</xdr:row>
      <xdr:rowOff>28575</xdr:rowOff>
    </xdr:from>
    <xdr:to>
      <xdr:col>3</xdr:col>
      <xdr:colOff>809626</xdr:colOff>
      <xdr:row>6</xdr:row>
      <xdr:rowOff>171449</xdr:rowOff>
    </xdr:to>
    <xdr:sp macro="" textlink="">
      <xdr:nvSpPr>
        <xdr:cNvPr id="12" name="Rectangle: Rounded Corners 11">
          <a:extLst>
            <a:ext uri="{FF2B5EF4-FFF2-40B4-BE49-F238E27FC236}">
              <a16:creationId xmlns:a16="http://schemas.microsoft.com/office/drawing/2014/main" id="{7B05723A-A32C-4D8D-AD2E-CDB31728E55C}"/>
            </a:ext>
          </a:extLst>
        </xdr:cNvPr>
        <xdr:cNvSpPr/>
      </xdr:nvSpPr>
      <xdr:spPr>
        <a:xfrm>
          <a:off x="609601" y="981075"/>
          <a:ext cx="2857500" cy="333374"/>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PageViews</a:t>
          </a:r>
          <a:r>
            <a:rPr lang="en-IN" sz="1400" baseline="0"/>
            <a:t> By Source</a:t>
          </a:r>
          <a:endParaRPr lang="en-IN" sz="1400"/>
        </a:p>
      </xdr:txBody>
    </xdr:sp>
    <xdr:clientData/>
  </xdr:twoCellAnchor>
  <xdr:twoCellAnchor>
    <xdr:from>
      <xdr:col>3</xdr:col>
      <xdr:colOff>952500</xdr:colOff>
      <xdr:row>5</xdr:row>
      <xdr:rowOff>28575</xdr:rowOff>
    </xdr:from>
    <xdr:to>
      <xdr:col>5</xdr:col>
      <xdr:colOff>981075</xdr:colOff>
      <xdr:row>6</xdr:row>
      <xdr:rowOff>171449</xdr:rowOff>
    </xdr:to>
    <xdr:sp macro="" textlink="">
      <xdr:nvSpPr>
        <xdr:cNvPr id="13" name="Rectangle: Rounded Corners 12">
          <a:extLst>
            <a:ext uri="{FF2B5EF4-FFF2-40B4-BE49-F238E27FC236}">
              <a16:creationId xmlns:a16="http://schemas.microsoft.com/office/drawing/2014/main" id="{600F97E2-2EA4-49FB-A50C-CD3275D79A59}"/>
            </a:ext>
          </a:extLst>
        </xdr:cNvPr>
        <xdr:cNvSpPr/>
      </xdr:nvSpPr>
      <xdr:spPr>
        <a:xfrm>
          <a:off x="3609975" y="981075"/>
          <a:ext cx="2800350" cy="333374"/>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User</a:t>
          </a:r>
          <a:r>
            <a:rPr lang="en-IN" sz="1400" baseline="0"/>
            <a:t> Retention Rate By Quarter</a:t>
          </a:r>
        </a:p>
      </xdr:txBody>
    </xdr:sp>
    <xdr:clientData/>
  </xdr:twoCellAnchor>
  <xdr:twoCellAnchor>
    <xdr:from>
      <xdr:col>6</xdr:col>
      <xdr:colOff>28575</xdr:colOff>
      <xdr:row>5</xdr:row>
      <xdr:rowOff>19050</xdr:rowOff>
    </xdr:from>
    <xdr:to>
      <xdr:col>7</xdr:col>
      <xdr:colOff>1333500</xdr:colOff>
      <xdr:row>6</xdr:row>
      <xdr:rowOff>161924</xdr:rowOff>
    </xdr:to>
    <xdr:sp macro="" textlink="">
      <xdr:nvSpPr>
        <xdr:cNvPr id="14" name="Rectangle: Rounded Corners 13">
          <a:extLst>
            <a:ext uri="{FF2B5EF4-FFF2-40B4-BE49-F238E27FC236}">
              <a16:creationId xmlns:a16="http://schemas.microsoft.com/office/drawing/2014/main" id="{29CD325D-601B-44C0-ADAA-7F701AECB41D}"/>
            </a:ext>
          </a:extLst>
        </xdr:cNvPr>
        <xdr:cNvSpPr/>
      </xdr:nvSpPr>
      <xdr:spPr>
        <a:xfrm>
          <a:off x="6505575" y="971550"/>
          <a:ext cx="3028950" cy="333374"/>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Bounc</a:t>
          </a:r>
          <a:r>
            <a:rPr lang="en-IN" sz="1400" baseline="0"/>
            <a:t>e &amp; Conversion Rate By Month</a:t>
          </a:r>
        </a:p>
      </xdr:txBody>
    </xdr:sp>
    <xdr:clientData/>
  </xdr:twoCellAnchor>
  <xdr:twoCellAnchor>
    <xdr:from>
      <xdr:col>3</xdr:col>
      <xdr:colOff>971550</xdr:colOff>
      <xdr:row>6</xdr:row>
      <xdr:rowOff>180975</xdr:rowOff>
    </xdr:from>
    <xdr:to>
      <xdr:col>5</xdr:col>
      <xdr:colOff>933450</xdr:colOff>
      <xdr:row>17</xdr:row>
      <xdr:rowOff>19050</xdr:rowOff>
    </xdr:to>
    <xdr:graphicFrame macro="">
      <xdr:nvGraphicFramePr>
        <xdr:cNvPr id="18" name="Chart 17">
          <a:extLst>
            <a:ext uri="{FF2B5EF4-FFF2-40B4-BE49-F238E27FC236}">
              <a16:creationId xmlns:a16="http://schemas.microsoft.com/office/drawing/2014/main" id="{F3545DE7-EEC8-4714-93E6-84CE24A9C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600076</xdr:colOff>
      <xdr:row>17</xdr:row>
      <xdr:rowOff>152400</xdr:rowOff>
    </xdr:from>
    <xdr:to>
      <xdr:col>7</xdr:col>
      <xdr:colOff>1333498</xdr:colOff>
      <xdr:row>31</xdr:row>
      <xdr:rowOff>85724</xdr:rowOff>
    </xdr:to>
    <xdr:grpSp>
      <xdr:nvGrpSpPr>
        <xdr:cNvPr id="23" name="Group 22">
          <a:extLst>
            <a:ext uri="{FF2B5EF4-FFF2-40B4-BE49-F238E27FC236}">
              <a16:creationId xmlns:a16="http://schemas.microsoft.com/office/drawing/2014/main" id="{AAD2ED0E-4814-6EB3-797E-2DE351C7996A}"/>
            </a:ext>
          </a:extLst>
        </xdr:cNvPr>
        <xdr:cNvGrpSpPr/>
      </xdr:nvGrpSpPr>
      <xdr:grpSpPr>
        <a:xfrm>
          <a:off x="600076" y="3406775"/>
          <a:ext cx="8928891" cy="2572543"/>
          <a:chOff x="571501" y="3495675"/>
          <a:chExt cx="8934447" cy="2600324"/>
        </a:xfrm>
      </xdr:grpSpPr>
      <xdr:sp macro="" textlink="">
        <xdr:nvSpPr>
          <xdr:cNvPr id="15" name="Rectangle: Rounded Corners 14">
            <a:extLst>
              <a:ext uri="{FF2B5EF4-FFF2-40B4-BE49-F238E27FC236}">
                <a16:creationId xmlns:a16="http://schemas.microsoft.com/office/drawing/2014/main" id="{062EE18F-FA54-48AE-81F4-4F0254F7768A}"/>
              </a:ext>
            </a:extLst>
          </xdr:cNvPr>
          <xdr:cNvSpPr/>
        </xdr:nvSpPr>
        <xdr:spPr>
          <a:xfrm>
            <a:off x="609600" y="3495675"/>
            <a:ext cx="2857500" cy="333374"/>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Avg.</a:t>
            </a:r>
            <a:r>
              <a:rPr lang="en-IN" sz="1400" baseline="0"/>
              <a:t> Revenue Per Session By Month</a:t>
            </a:r>
            <a:endParaRPr lang="en-IN" sz="1400"/>
          </a:p>
        </xdr:txBody>
      </xdr:sp>
      <xdr:sp macro="" textlink="">
        <xdr:nvSpPr>
          <xdr:cNvPr id="16" name="Rectangle: Rounded Corners 15">
            <a:extLst>
              <a:ext uri="{FF2B5EF4-FFF2-40B4-BE49-F238E27FC236}">
                <a16:creationId xmlns:a16="http://schemas.microsoft.com/office/drawing/2014/main" id="{2ABFCBB2-3481-49FC-945A-F288D4D53C61}"/>
              </a:ext>
            </a:extLst>
          </xdr:cNvPr>
          <xdr:cNvSpPr/>
        </xdr:nvSpPr>
        <xdr:spPr>
          <a:xfrm>
            <a:off x="3552824" y="3495675"/>
            <a:ext cx="2857500" cy="333374"/>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Transaction</a:t>
            </a:r>
            <a:r>
              <a:rPr lang="en-IN" sz="1400" baseline="0"/>
              <a:t> By Quarter</a:t>
            </a:r>
            <a:endParaRPr lang="en-IN" sz="1400"/>
          </a:p>
        </xdr:txBody>
      </xdr:sp>
      <xdr:sp macro="" textlink="">
        <xdr:nvSpPr>
          <xdr:cNvPr id="17" name="Rectangle: Rounded Corners 16">
            <a:extLst>
              <a:ext uri="{FF2B5EF4-FFF2-40B4-BE49-F238E27FC236}">
                <a16:creationId xmlns:a16="http://schemas.microsoft.com/office/drawing/2014/main" id="{838663EE-BF09-4B12-B030-5813CBF1151C}"/>
              </a:ext>
            </a:extLst>
          </xdr:cNvPr>
          <xdr:cNvSpPr/>
        </xdr:nvSpPr>
        <xdr:spPr>
          <a:xfrm>
            <a:off x="6496049" y="3495675"/>
            <a:ext cx="3009899" cy="333374"/>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Revenue By Month</a:t>
            </a:r>
          </a:p>
        </xdr:txBody>
      </xdr:sp>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03A8DD71-1499-4204-91C7-62DEE0C62EC6}"/>
                  </a:ext>
                </a:extLst>
              </xdr:cNvPr>
              <xdr:cNvGraphicFramePr/>
            </xdr:nvGraphicFramePr>
            <xdr:xfrm>
              <a:off x="571501" y="3819524"/>
              <a:ext cx="2914650" cy="2276475"/>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71501" y="3819524"/>
                <a:ext cx="2914650" cy="22764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20" name="Chart 19">
            <a:extLst>
              <a:ext uri="{FF2B5EF4-FFF2-40B4-BE49-F238E27FC236}">
                <a16:creationId xmlns:a16="http://schemas.microsoft.com/office/drawing/2014/main" id="{256AEEB9-7549-4843-828F-7A036774AD9A}"/>
              </a:ext>
            </a:extLst>
          </xdr:cNvPr>
          <xdr:cNvGraphicFramePr>
            <a:graphicFrameLocks/>
          </xdr:cNvGraphicFramePr>
        </xdr:nvGraphicFramePr>
        <xdr:xfrm>
          <a:off x="3562351" y="3857626"/>
          <a:ext cx="2847974" cy="219075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1" name="Chart 20">
            <a:extLst>
              <a:ext uri="{FF2B5EF4-FFF2-40B4-BE49-F238E27FC236}">
                <a16:creationId xmlns:a16="http://schemas.microsoft.com/office/drawing/2014/main" id="{E9530BD0-4BEF-4538-A636-14029906FF5E}"/>
              </a:ext>
            </a:extLst>
          </xdr:cNvPr>
          <xdr:cNvGraphicFramePr>
            <a:graphicFrameLocks/>
          </xdr:cNvGraphicFramePr>
        </xdr:nvGraphicFramePr>
        <xdr:xfrm>
          <a:off x="6524625" y="3819525"/>
          <a:ext cx="2933700" cy="2219325"/>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xdr:col>
      <xdr:colOff>28574</xdr:colOff>
      <xdr:row>32</xdr:row>
      <xdr:rowOff>9525</xdr:rowOff>
    </xdr:from>
    <xdr:to>
      <xdr:col>4</xdr:col>
      <xdr:colOff>1074095</xdr:colOff>
      <xdr:row>33</xdr:row>
      <xdr:rowOff>152399</xdr:rowOff>
    </xdr:to>
    <xdr:sp macro="" textlink="">
      <xdr:nvSpPr>
        <xdr:cNvPr id="25" name="Rectangle: Rounded Corners 24">
          <a:extLst>
            <a:ext uri="{FF2B5EF4-FFF2-40B4-BE49-F238E27FC236}">
              <a16:creationId xmlns:a16="http://schemas.microsoft.com/office/drawing/2014/main" id="{A1BE0898-1D58-4162-8B0D-61146468BC3B}"/>
            </a:ext>
          </a:extLst>
        </xdr:cNvPr>
        <xdr:cNvSpPr/>
      </xdr:nvSpPr>
      <xdr:spPr>
        <a:xfrm>
          <a:off x="636553" y="6221041"/>
          <a:ext cx="4298207" cy="335401"/>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Sum</a:t>
          </a:r>
          <a:r>
            <a:rPr lang="en-IN" sz="1400" b="1" baseline="0"/>
            <a:t> of Revenue and Quantity Sold</a:t>
          </a:r>
          <a:endParaRPr lang="en-IN" sz="1400" b="1"/>
        </a:p>
      </xdr:txBody>
    </xdr:sp>
    <xdr:clientData/>
  </xdr:twoCellAnchor>
  <xdr:twoCellAnchor>
    <xdr:from>
      <xdr:col>4</xdr:col>
      <xdr:colOff>1165292</xdr:colOff>
      <xdr:row>32</xdr:row>
      <xdr:rowOff>19050</xdr:rowOff>
    </xdr:from>
    <xdr:to>
      <xdr:col>7</xdr:col>
      <xdr:colOff>1343024</xdr:colOff>
      <xdr:row>33</xdr:row>
      <xdr:rowOff>161924</xdr:rowOff>
    </xdr:to>
    <xdr:sp macro="" textlink="">
      <xdr:nvSpPr>
        <xdr:cNvPr id="27" name="Rectangle: Rounded Corners 26">
          <a:extLst>
            <a:ext uri="{FF2B5EF4-FFF2-40B4-BE49-F238E27FC236}">
              <a16:creationId xmlns:a16="http://schemas.microsoft.com/office/drawing/2014/main" id="{4230F7D1-E3A2-4380-9B5B-5698A5DE970F}"/>
            </a:ext>
          </a:extLst>
        </xdr:cNvPr>
        <xdr:cNvSpPr/>
      </xdr:nvSpPr>
      <xdr:spPr>
        <a:xfrm>
          <a:off x="5025957" y="6230566"/>
          <a:ext cx="4504514" cy="335401"/>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en-IN" sz="1400" b="1" i="0" cap="all" baseline="0">
              <a:solidFill>
                <a:schemeClr val="lt1"/>
              </a:solidFill>
              <a:effectLst/>
              <a:latin typeface="+mn-lt"/>
              <a:ea typeface="+mn-ea"/>
              <a:cs typeface="+mn-cs"/>
            </a:rPr>
            <a:t>Total Revenue By Month</a:t>
          </a:r>
        </a:p>
      </xdr:txBody>
    </xdr:sp>
    <xdr:clientData/>
  </xdr:twoCellAnchor>
  <xdr:twoCellAnchor>
    <xdr:from>
      <xdr:col>8</xdr:col>
      <xdr:colOff>28575</xdr:colOff>
      <xdr:row>32</xdr:row>
      <xdr:rowOff>9525</xdr:rowOff>
    </xdr:from>
    <xdr:to>
      <xdr:col>10</xdr:col>
      <xdr:colOff>85725</xdr:colOff>
      <xdr:row>44</xdr:row>
      <xdr:rowOff>142874</xdr:rowOff>
    </xdr:to>
    <xdr:graphicFrame macro="">
      <xdr:nvGraphicFramePr>
        <xdr:cNvPr id="28" name="Chart 27">
          <a:extLst>
            <a:ext uri="{FF2B5EF4-FFF2-40B4-BE49-F238E27FC236}">
              <a16:creationId xmlns:a16="http://schemas.microsoft.com/office/drawing/2014/main" id="{DDD3C28D-9620-4823-9B68-4560E4020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81064</xdr:colOff>
      <xdr:row>33</xdr:row>
      <xdr:rowOff>161924</xdr:rowOff>
    </xdr:from>
    <xdr:to>
      <xdr:col>4</xdr:col>
      <xdr:colOff>1063963</xdr:colOff>
      <xdr:row>45</xdr:row>
      <xdr:rowOff>38100</xdr:rowOff>
    </xdr:to>
    <xdr:graphicFrame macro="">
      <xdr:nvGraphicFramePr>
        <xdr:cNvPr id="29" name="Chart 28">
          <a:extLst>
            <a:ext uri="{FF2B5EF4-FFF2-40B4-BE49-F238E27FC236}">
              <a16:creationId xmlns:a16="http://schemas.microsoft.com/office/drawing/2014/main" id="{956B835B-8295-4FAF-928C-2A0A48714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1195691</xdr:colOff>
      <xdr:row>33</xdr:row>
      <xdr:rowOff>190499</xdr:rowOff>
    </xdr:from>
    <xdr:to>
      <xdr:col>7</xdr:col>
      <xdr:colOff>1304925</xdr:colOff>
      <xdr:row>45</xdr:row>
      <xdr:rowOff>9524</xdr:rowOff>
    </xdr:to>
    <xdr:graphicFrame macro="">
      <xdr:nvGraphicFramePr>
        <xdr:cNvPr id="30" name="Chart 29">
          <a:extLst>
            <a:ext uri="{FF2B5EF4-FFF2-40B4-BE49-F238E27FC236}">
              <a16:creationId xmlns:a16="http://schemas.microsoft.com/office/drawing/2014/main" id="{85AC0ADC-3E83-4A4B-86F7-D65D1A33B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1418104</xdr:colOff>
      <xdr:row>22</xdr:row>
      <xdr:rowOff>53790</xdr:rowOff>
    </xdr:from>
    <xdr:to>
      <xdr:col>11</xdr:col>
      <xdr:colOff>207869</xdr:colOff>
      <xdr:row>33</xdr:row>
      <xdr:rowOff>42582</xdr:rowOff>
    </xdr:to>
    <xdr:graphicFrame macro="">
      <xdr:nvGraphicFramePr>
        <xdr:cNvPr id="32" name="Chart 31">
          <a:extLst>
            <a:ext uri="{FF2B5EF4-FFF2-40B4-BE49-F238E27FC236}">
              <a16:creationId xmlns:a16="http://schemas.microsoft.com/office/drawing/2014/main" id="{AAD0576B-86D6-4DE2-83AE-82821D4156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8</xdr:col>
      <xdr:colOff>12455</xdr:colOff>
      <xdr:row>14</xdr:row>
      <xdr:rowOff>180975</xdr:rowOff>
    </xdr:from>
    <xdr:to>
      <xdr:col>10</xdr:col>
      <xdr:colOff>16852</xdr:colOff>
      <xdr:row>22</xdr:row>
      <xdr:rowOff>52754</xdr:rowOff>
    </xdr:to>
    <mc:AlternateContent xmlns:mc="http://schemas.openxmlformats.org/markup-compatibility/2006" xmlns:tsle="http://schemas.microsoft.com/office/drawing/2012/timeslicer">
      <mc:Choice Requires="tsle">
        <xdr:graphicFrame macro="">
          <xdr:nvGraphicFramePr>
            <xdr:cNvPr id="33" name="Date">
              <a:extLst>
                <a:ext uri="{FF2B5EF4-FFF2-40B4-BE49-F238E27FC236}">
                  <a16:creationId xmlns:a16="http://schemas.microsoft.com/office/drawing/2014/main" id="{DA6025CB-60E2-4505-8B44-BB3D94303BA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9740115" y="2927012"/>
              <a:ext cx="1858732" cy="141199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9</xdr:col>
      <xdr:colOff>483578</xdr:colOff>
      <xdr:row>4</xdr:row>
      <xdr:rowOff>124557</xdr:rowOff>
    </xdr:from>
    <xdr:to>
      <xdr:col>9</xdr:col>
      <xdr:colOff>1230924</xdr:colOff>
      <xdr:row>5</xdr:row>
      <xdr:rowOff>190500</xdr:rowOff>
    </xdr:to>
    <xdr:sp macro="" textlink="'Pivot Table'!L24">
      <xdr:nvSpPr>
        <xdr:cNvPr id="34" name="Rectangle: Rounded Corners 33">
          <a:extLst>
            <a:ext uri="{FF2B5EF4-FFF2-40B4-BE49-F238E27FC236}">
              <a16:creationId xmlns:a16="http://schemas.microsoft.com/office/drawing/2014/main" id="{C224F4CA-7DD5-183C-5565-AFC2A0A33117}"/>
            </a:ext>
          </a:extLst>
        </xdr:cNvPr>
        <xdr:cNvSpPr/>
      </xdr:nvSpPr>
      <xdr:spPr>
        <a:xfrm>
          <a:off x="10836520" y="886557"/>
          <a:ext cx="747346" cy="256443"/>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C66CA79-83F2-47A6-9111-EF0FC9824401}" type="TxLink">
            <a:rPr lang="en-US" sz="1200" b="1" i="0" u="none" strike="noStrike">
              <a:solidFill>
                <a:schemeClr val="bg1"/>
              </a:solidFill>
              <a:latin typeface="Calibri"/>
              <a:cs typeface="Calibri"/>
            </a:rPr>
            <a:pPr algn="ctr"/>
            <a:t>22.8%</a:t>
          </a:fld>
          <a:endParaRPr lang="en-IN" sz="1200" b="1">
            <a:solidFill>
              <a:schemeClr val="bg1"/>
            </a:solidFill>
          </a:endParaRPr>
        </a:p>
      </xdr:txBody>
    </xdr:sp>
    <xdr:clientData/>
  </xdr:twoCellAnchor>
  <xdr:twoCellAnchor>
    <xdr:from>
      <xdr:col>9</xdr:col>
      <xdr:colOff>476250</xdr:colOff>
      <xdr:row>6</xdr:row>
      <xdr:rowOff>29308</xdr:rowOff>
    </xdr:from>
    <xdr:to>
      <xdr:col>9</xdr:col>
      <xdr:colOff>1223596</xdr:colOff>
      <xdr:row>7</xdr:row>
      <xdr:rowOff>87923</xdr:rowOff>
    </xdr:to>
    <xdr:sp macro="" textlink="'Pivot Table'!L26">
      <xdr:nvSpPr>
        <xdr:cNvPr id="35" name="Rectangle: Rounded Corners 34">
          <a:extLst>
            <a:ext uri="{FF2B5EF4-FFF2-40B4-BE49-F238E27FC236}">
              <a16:creationId xmlns:a16="http://schemas.microsoft.com/office/drawing/2014/main" id="{65A6F8DB-B92E-4A9D-80D6-449E67A25383}"/>
            </a:ext>
          </a:extLst>
        </xdr:cNvPr>
        <xdr:cNvSpPr/>
      </xdr:nvSpPr>
      <xdr:spPr>
        <a:xfrm>
          <a:off x="10829192" y="1223596"/>
          <a:ext cx="747346" cy="249115"/>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897FB7D-1767-4E61-9BDF-B8CE0F2272FE}" type="TxLink">
            <a:rPr lang="en-US" sz="1200" b="1" i="0" u="none" strike="noStrike">
              <a:solidFill>
                <a:schemeClr val="bg1"/>
              </a:solidFill>
              <a:latin typeface="Calibri"/>
              <a:cs typeface="Calibri"/>
            </a:rPr>
            <a:pPr algn="ctr"/>
            <a:t>47%</a:t>
          </a:fld>
          <a:endParaRPr lang="en-IN" sz="1200" b="1">
            <a:solidFill>
              <a:schemeClr val="bg1"/>
            </a:solidFill>
          </a:endParaRPr>
        </a:p>
      </xdr:txBody>
    </xdr:sp>
    <xdr:clientData/>
  </xdr:twoCellAnchor>
  <xdr:twoCellAnchor>
    <xdr:from>
      <xdr:col>9</xdr:col>
      <xdr:colOff>476250</xdr:colOff>
      <xdr:row>9</xdr:row>
      <xdr:rowOff>175845</xdr:rowOff>
    </xdr:from>
    <xdr:to>
      <xdr:col>9</xdr:col>
      <xdr:colOff>1223596</xdr:colOff>
      <xdr:row>11</xdr:row>
      <xdr:rowOff>36634</xdr:rowOff>
    </xdr:to>
    <xdr:sp macro="" textlink="'Pivot Table'!L30">
      <xdr:nvSpPr>
        <xdr:cNvPr id="36" name="Rectangle: Rounded Corners 35">
          <a:extLst>
            <a:ext uri="{FF2B5EF4-FFF2-40B4-BE49-F238E27FC236}">
              <a16:creationId xmlns:a16="http://schemas.microsoft.com/office/drawing/2014/main" id="{0EEE8868-591B-410A-A752-135508EABB02}"/>
            </a:ext>
          </a:extLst>
        </xdr:cNvPr>
        <xdr:cNvSpPr/>
      </xdr:nvSpPr>
      <xdr:spPr>
        <a:xfrm>
          <a:off x="10829192" y="1941633"/>
          <a:ext cx="747346" cy="241789"/>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ABA2015-BB06-46B0-B67F-89D59F1F409D}" type="TxLink">
            <a:rPr lang="en-US" sz="1100" b="1" i="0" u="none" strike="noStrike">
              <a:solidFill>
                <a:schemeClr val="bg1"/>
              </a:solidFill>
              <a:latin typeface="Calibri"/>
              <a:cs typeface="Calibri"/>
            </a:rPr>
            <a:pPr algn="ctr"/>
            <a:t>75%</a:t>
          </a:fld>
          <a:endParaRPr lang="en-IN" sz="1100" b="1">
            <a:solidFill>
              <a:schemeClr val="bg1"/>
            </a:solidFill>
          </a:endParaRPr>
        </a:p>
      </xdr:txBody>
    </xdr:sp>
    <xdr:clientData/>
  </xdr:twoCellAnchor>
  <xdr:twoCellAnchor>
    <xdr:from>
      <xdr:col>9</xdr:col>
      <xdr:colOff>476250</xdr:colOff>
      <xdr:row>7</xdr:row>
      <xdr:rowOff>183173</xdr:rowOff>
    </xdr:from>
    <xdr:to>
      <xdr:col>9</xdr:col>
      <xdr:colOff>1223596</xdr:colOff>
      <xdr:row>9</xdr:row>
      <xdr:rowOff>51288</xdr:rowOff>
    </xdr:to>
    <xdr:sp macro="" textlink="'Pivot Table'!L28">
      <xdr:nvSpPr>
        <xdr:cNvPr id="37" name="Rectangle: Rounded Corners 36">
          <a:extLst>
            <a:ext uri="{FF2B5EF4-FFF2-40B4-BE49-F238E27FC236}">
              <a16:creationId xmlns:a16="http://schemas.microsoft.com/office/drawing/2014/main" id="{C10A7286-EA28-41B3-9CEB-F2BCE2E66E2C}"/>
            </a:ext>
          </a:extLst>
        </xdr:cNvPr>
        <xdr:cNvSpPr/>
      </xdr:nvSpPr>
      <xdr:spPr>
        <a:xfrm>
          <a:off x="10829192" y="1567961"/>
          <a:ext cx="747346" cy="249115"/>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21832AF-6084-48B2-AA5C-CC711FA62BA5}" type="TxLink">
            <a:rPr lang="en-US" sz="1200" b="1" i="0" u="none" strike="noStrike">
              <a:solidFill>
                <a:schemeClr val="bg1"/>
              </a:solidFill>
              <a:latin typeface="Calibri"/>
              <a:cs typeface="Calibri"/>
            </a:rPr>
            <a:pPr algn="ctr"/>
            <a:t>56%</a:t>
          </a:fld>
          <a:endParaRPr lang="en-US" sz="1200" b="1" i="0" u="none" strike="noStrike">
            <a:solidFill>
              <a:schemeClr val="bg1"/>
            </a:solidFill>
            <a:latin typeface="Calibri"/>
            <a:cs typeface="Calibri"/>
          </a:endParaRPr>
        </a:p>
      </xdr:txBody>
    </xdr:sp>
    <xdr:clientData/>
  </xdr:twoCellAnchor>
  <xdr:twoCellAnchor>
    <xdr:from>
      <xdr:col>8</xdr:col>
      <xdr:colOff>65943</xdr:colOff>
      <xdr:row>4</xdr:row>
      <xdr:rowOff>117231</xdr:rowOff>
    </xdr:from>
    <xdr:to>
      <xdr:col>9</xdr:col>
      <xdr:colOff>402982</xdr:colOff>
      <xdr:row>5</xdr:row>
      <xdr:rowOff>227134</xdr:rowOff>
    </xdr:to>
    <xdr:sp macro="" textlink="">
      <xdr:nvSpPr>
        <xdr:cNvPr id="42" name="TextBox 41">
          <a:extLst>
            <a:ext uri="{FF2B5EF4-FFF2-40B4-BE49-F238E27FC236}">
              <a16:creationId xmlns:a16="http://schemas.microsoft.com/office/drawing/2014/main" id="{9AD5E6C6-F339-0C7B-B9CA-56AAFD95C366}"/>
            </a:ext>
          </a:extLst>
        </xdr:cNvPr>
        <xdr:cNvSpPr txBox="1"/>
      </xdr:nvSpPr>
      <xdr:spPr>
        <a:xfrm>
          <a:off x="9810751" y="879231"/>
          <a:ext cx="945173" cy="300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solidFill>
                <a:srgbClr val="FF0000"/>
              </a:solidFill>
            </a:rPr>
            <a:t>User</a:t>
          </a:r>
          <a:r>
            <a:rPr lang="en-IN" sz="1400" b="1" baseline="0">
              <a:solidFill>
                <a:srgbClr val="FF0000"/>
              </a:solidFill>
            </a:rPr>
            <a:t> </a:t>
          </a:r>
          <a:r>
            <a:rPr lang="en-IN" sz="1100" b="1" baseline="0">
              <a:solidFill>
                <a:srgbClr val="FF0000"/>
              </a:solidFill>
            </a:rPr>
            <a:t>Growth</a:t>
          </a:r>
          <a:r>
            <a:rPr lang="en-IN" sz="1400" b="1" baseline="0">
              <a:solidFill>
                <a:srgbClr val="FF0000"/>
              </a:solidFill>
            </a:rPr>
            <a:t> </a:t>
          </a:r>
          <a:endParaRPr lang="en-IN" sz="1400" b="1">
            <a:solidFill>
              <a:srgbClr val="FF0000"/>
            </a:solidFill>
          </a:endParaRPr>
        </a:p>
      </xdr:txBody>
    </xdr:sp>
    <xdr:clientData/>
  </xdr:twoCellAnchor>
  <xdr:twoCellAnchor>
    <xdr:from>
      <xdr:col>8</xdr:col>
      <xdr:colOff>168519</xdr:colOff>
      <xdr:row>6</xdr:row>
      <xdr:rowOff>29308</xdr:rowOff>
    </xdr:from>
    <xdr:to>
      <xdr:col>9</xdr:col>
      <xdr:colOff>285750</xdr:colOff>
      <xdr:row>7</xdr:row>
      <xdr:rowOff>102576</xdr:rowOff>
    </xdr:to>
    <xdr:sp macro="" textlink="">
      <xdr:nvSpPr>
        <xdr:cNvPr id="43" name="TextBox 42">
          <a:extLst>
            <a:ext uri="{FF2B5EF4-FFF2-40B4-BE49-F238E27FC236}">
              <a16:creationId xmlns:a16="http://schemas.microsoft.com/office/drawing/2014/main" id="{B6778AF5-FE51-49DE-BE7B-A6E75EED77BC}"/>
            </a:ext>
          </a:extLst>
        </xdr:cNvPr>
        <xdr:cNvSpPr txBox="1"/>
      </xdr:nvSpPr>
      <xdr:spPr>
        <a:xfrm>
          <a:off x="9913327" y="1223596"/>
          <a:ext cx="725365" cy="263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FF0000"/>
              </a:solidFill>
            </a:rPr>
            <a:t>Revenue</a:t>
          </a:r>
        </a:p>
      </xdr:txBody>
    </xdr:sp>
    <xdr:clientData/>
  </xdr:twoCellAnchor>
  <xdr:twoCellAnchor>
    <xdr:from>
      <xdr:col>8</xdr:col>
      <xdr:colOff>124557</xdr:colOff>
      <xdr:row>7</xdr:row>
      <xdr:rowOff>190500</xdr:rowOff>
    </xdr:from>
    <xdr:to>
      <xdr:col>9</xdr:col>
      <xdr:colOff>432288</xdr:colOff>
      <xdr:row>9</xdr:row>
      <xdr:rowOff>73268</xdr:rowOff>
    </xdr:to>
    <xdr:sp macro="" textlink="">
      <xdr:nvSpPr>
        <xdr:cNvPr id="44" name="TextBox 43">
          <a:extLst>
            <a:ext uri="{FF2B5EF4-FFF2-40B4-BE49-F238E27FC236}">
              <a16:creationId xmlns:a16="http://schemas.microsoft.com/office/drawing/2014/main" id="{4DB624EC-789A-4E29-973D-81608A4A4CED}"/>
            </a:ext>
          </a:extLst>
        </xdr:cNvPr>
        <xdr:cNvSpPr txBox="1"/>
      </xdr:nvSpPr>
      <xdr:spPr>
        <a:xfrm>
          <a:off x="9869365" y="1575288"/>
          <a:ext cx="915865" cy="263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FF0000"/>
              </a:solidFill>
            </a:rPr>
            <a:t>Transactions</a:t>
          </a:r>
        </a:p>
      </xdr:txBody>
    </xdr:sp>
    <xdr:clientData/>
  </xdr:twoCellAnchor>
  <xdr:twoCellAnchor>
    <xdr:from>
      <xdr:col>7</xdr:col>
      <xdr:colOff>1399445</xdr:colOff>
      <xdr:row>9</xdr:row>
      <xdr:rowOff>21982</xdr:rowOff>
    </xdr:from>
    <xdr:to>
      <xdr:col>9</xdr:col>
      <xdr:colOff>527542</xdr:colOff>
      <xdr:row>11</xdr:row>
      <xdr:rowOff>102577</xdr:rowOff>
    </xdr:to>
    <xdr:sp macro="" textlink="">
      <xdr:nvSpPr>
        <xdr:cNvPr id="45" name="TextBox 44">
          <a:extLst>
            <a:ext uri="{FF2B5EF4-FFF2-40B4-BE49-F238E27FC236}">
              <a16:creationId xmlns:a16="http://schemas.microsoft.com/office/drawing/2014/main" id="{398C05C4-197E-4DFD-80B7-8BA66619CF74}"/>
            </a:ext>
          </a:extLst>
        </xdr:cNvPr>
        <xdr:cNvSpPr txBox="1"/>
      </xdr:nvSpPr>
      <xdr:spPr>
        <a:xfrm>
          <a:off x="9598272" y="1787770"/>
          <a:ext cx="1282212" cy="461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FF0000"/>
              </a:solidFill>
            </a:rPr>
            <a:t>User</a:t>
          </a:r>
          <a:r>
            <a:rPr lang="en-IN" sz="1100" b="1" baseline="0">
              <a:solidFill>
                <a:srgbClr val="FF0000"/>
              </a:solidFill>
            </a:rPr>
            <a:t> </a:t>
          </a:r>
        </a:p>
        <a:p>
          <a:pPr algn="ctr"/>
          <a:r>
            <a:rPr lang="en-IN" sz="1100" b="1" baseline="0">
              <a:solidFill>
                <a:srgbClr val="FF0000"/>
              </a:solidFill>
            </a:rPr>
            <a:t>Conversion %</a:t>
          </a:r>
          <a:endParaRPr lang="en-IN" sz="1100" b="1">
            <a:solidFill>
              <a:srgbClr val="FF0000"/>
            </a:solidFill>
          </a:endParaRPr>
        </a:p>
      </xdr:txBody>
    </xdr:sp>
    <xdr:clientData/>
  </xdr:twoCellAnchor>
  <xdr:twoCellAnchor editAs="oneCell">
    <xdr:from>
      <xdr:col>8</xdr:col>
      <xdr:colOff>0</xdr:colOff>
      <xdr:row>11</xdr:row>
      <xdr:rowOff>117138</xdr:rowOff>
    </xdr:from>
    <xdr:to>
      <xdr:col>10</xdr:col>
      <xdr:colOff>0</xdr:colOff>
      <xdr:row>14</xdr:row>
      <xdr:rowOff>151995</xdr:rowOff>
    </xdr:to>
    <mc:AlternateContent xmlns:mc="http://schemas.openxmlformats.org/markup-compatibility/2006" xmlns:a14="http://schemas.microsoft.com/office/drawing/2010/main">
      <mc:Choice Requires="a14">
        <xdr:graphicFrame macro="">
          <xdr:nvGraphicFramePr>
            <xdr:cNvPr id="3" name="Source / Medium">
              <a:extLst>
                <a:ext uri="{FF2B5EF4-FFF2-40B4-BE49-F238E27FC236}">
                  <a16:creationId xmlns:a16="http://schemas.microsoft.com/office/drawing/2014/main" id="{65A67545-35E2-E628-185E-13156B8D9D7D}"/>
                </a:ext>
              </a:extLst>
            </xdr:cNvPr>
            <xdr:cNvGraphicFramePr/>
          </xdr:nvGraphicFramePr>
          <xdr:xfrm>
            <a:off x="0" y="0"/>
            <a:ext cx="0" cy="0"/>
          </xdr:xfrm>
          <a:graphic>
            <a:graphicData uri="http://schemas.microsoft.com/office/drawing/2010/slicer">
              <sle:slicer xmlns:sle="http://schemas.microsoft.com/office/drawing/2010/slicer" name="Source / Medium"/>
            </a:graphicData>
          </a:graphic>
        </xdr:graphicFrame>
      </mc:Choice>
      <mc:Fallback xmlns="">
        <xdr:sp macro="" textlink="">
          <xdr:nvSpPr>
            <xdr:cNvPr id="0" name=""/>
            <xdr:cNvSpPr>
              <a:spLocks noTextEdit="1"/>
            </xdr:cNvSpPr>
          </xdr:nvSpPr>
          <xdr:spPr>
            <a:xfrm>
              <a:off x="9727660" y="2285595"/>
              <a:ext cx="1854335" cy="612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rath\Downloads\Call-Center-Dashboard-Template.xlsx" TargetMode="External"/><Relationship Id="rId1" Type="http://schemas.openxmlformats.org/officeDocument/2006/relationships/externalLinkPath" Target="file:///C:\Users\prath\Downloads\Call-Center-Dashboard-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Calculations"/>
      <sheetName val="DASHBOARD"/>
    </sheetNames>
    <sheetDataSet>
      <sheetData sheetId="0"/>
      <sheetData sheetId="1"/>
      <sheetData sheetId="2"/>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esh Kedar" refreshedDate="45978.844678125002" backgroundQuery="1" createdVersion="8" refreshedVersion="8" minRefreshableVersion="3" recordCount="0" supportSubquery="1" supportAdvancedDrill="1" xr:uid="{AD63F9D6-ED63-4996-9F97-82EFAB10BA29}">
  <cacheSource type="external" connectionId="1"/>
  <cacheFields count="6">
    <cacheField name="[Table1].[Source / Medium].[Source / Medium]" caption="Source / Medium" numFmtId="0" level="1">
      <sharedItems count="19">
        <s v="A"/>
        <s v="B"/>
        <s v="C"/>
        <s v="E"/>
        <s v="F"/>
        <s v="G"/>
        <s v="I"/>
        <s v="J"/>
        <s v="K"/>
        <s v="L"/>
        <s v="M"/>
        <s v="O"/>
        <s v="P"/>
        <s v="R"/>
        <s v="S"/>
        <s v="T"/>
        <s v="U"/>
        <s v="V"/>
        <s v="Z"/>
      </sharedItems>
    </cacheField>
    <cacheField name="[Table1].[Year].[Year]" caption="Year" numFmtId="0" hierarchy="1" level="1">
      <sharedItems containsSemiMixedTypes="0" containsNonDate="0" containsString="0"/>
    </cacheField>
    <cacheField name="[Table1].[Date (Month)].[Date (Month)]" caption="Date (Month)" numFmtId="0" hierarchy="25" level="1">
      <sharedItems count="12">
        <s v="Jan"/>
        <s v="Feb"/>
        <s v="Mar"/>
        <s v="Apr"/>
        <s v="May"/>
        <s v="Jun"/>
        <s v="Jul"/>
        <s v="Aug"/>
        <s v="Sep"/>
        <s v="Oct"/>
        <s v="Nov"/>
        <s v="Dec"/>
      </sharedItems>
    </cacheField>
    <cacheField name="[Measures].[Sum of Transactions]" caption="Sum of Transactions" numFmtId="0" hierarchy="35" level="32767"/>
    <cacheField name="[Measures].[Sum of Revenue]" caption="Sum of Revenue" numFmtId="0" hierarchy="40" level="32767"/>
    <cacheField name="[Measures].[Sum of Pageviews]" caption="Sum of Pageviews" numFmtId="0" hierarchy="48" level="32767"/>
  </cacheFields>
  <cacheHierarchies count="61">
    <cacheHierarchy uniqueName="[Table1].[Source / Medium]" caption="Source / Medium" attribute="1" defaultMemberUniqueName="[Table1].[Source / Medium].[All]" allUniqueName="[Table1].[Source / Medium].[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Date]" caption="Date" attribute="1" time="1" defaultMemberUniqueName="[Table1].[Date].[All]" allUniqueName="[Table1].[Date].[All]" dimensionUniqueName="[Table1]" displayFolder="" count="2" memberValueDatatype="7" unbalanced="0"/>
    <cacheHierarchy uniqueName="[Table1].[Month of the year]" caption="Month of the year" attribute="1" defaultMemberUniqueName="[Table1].[Month of the year].[All]" allUniqueName="[Table1].[Month of the year].[All]" dimensionUniqueName="[Table1]" displayFolder="" count="2" memberValueDatatype="20" unbalanced="0"/>
    <cacheHierarchy uniqueName="[Table1].[Users]" caption="Users" attribute="1" defaultMemberUniqueName="[Table1].[Users].[All]" allUniqueName="[Table1].[Users].[All]" dimensionUniqueName="[Table1]" displayFolder="" count="2" memberValueDatatype="20" unbalanced="0"/>
    <cacheHierarchy uniqueName="[Table1].[New Users]" caption="New Users" attribute="1" defaultMemberUniqueName="[Table1].[New Users].[All]" allUniqueName="[Table1].[New Users].[All]" dimensionUniqueName="[Table1]" displayFolder="" count="2" memberValueDatatype="20" unbalanced="0"/>
    <cacheHierarchy uniqueName="[Table1].[Returning Users]" caption="Returning Users" attribute="1" defaultMemberUniqueName="[Table1].[Returning Users].[All]" allUniqueName="[Table1].[Returning Users].[All]" dimensionUniqueName="[Table1]" displayFolder="" count="2" memberValueDatatype="20" unbalanced="0"/>
    <cacheHierarchy uniqueName="[Table1].[Sessions]" caption="Sessions" attribute="1" defaultMemberUniqueName="[Table1].[Sessions].[All]" allUniqueName="[Table1].[Sessions].[All]" dimensionUniqueName="[Table1]" displayFolder="" count="2" memberValueDatatype="20" unbalanced="0"/>
    <cacheHierarchy uniqueName="[Table1].[Bounce Rate]" caption="Bounce Rate" attribute="1" defaultMemberUniqueName="[Table1].[Bounce Rate].[All]" allUniqueName="[Table1].[Bounce Rate].[All]" dimensionUniqueName="[Table1]" displayFolder="" count="2" memberValueDatatype="5" unbalanced="0"/>
    <cacheHierarchy uniqueName="[Table1].[Pageviews]" caption="Pageviews" attribute="1" defaultMemberUniqueName="[Table1].[Pageviews].[All]" allUniqueName="[Table1].[Pageviews].[All]" dimensionUniqueName="[Table1]" displayFolder="" count="2" memberValueDatatype="20" unbalanced="0"/>
    <cacheHierarchy uniqueName="[Table1].[Avg. Session Duration]" caption="Avg. Session Duration" attribute="1" time="1" defaultMemberUniqueName="[Table1].[Avg. Session Duration].[All]" allUniqueName="[Table1].[Avg. Session Duration].[All]" dimensionUniqueName="[Table1]" displayFolder="" count="2" memberValueDatatype="7" unbalanced="0"/>
    <cacheHierarchy uniqueName="[Table1].[Avg PageViews/Session]" caption="Avg PageViews/Session" attribute="1" time="1" defaultMemberUniqueName="[Table1].[Avg PageViews/Session].[All]" allUniqueName="[Table1].[Avg PageViews/Session].[All]" dimensionUniqueName="[Table1]" displayFolder="" count="2" memberValueDatatype="7" unbalanced="0"/>
    <cacheHierarchy uniqueName="[Table1].[Conversion Rate (%)]" caption="Conversion Rate (%)" attribute="1" defaultMemberUniqueName="[Table1].[Conversion Rate (%)].[All]" allUniqueName="[Table1].[Conversion Rate (%)].[All]" dimensionUniqueName="[Table1]" displayFolder="" count="2" memberValueDatatype="5" unbalanced="0"/>
    <cacheHierarchy uniqueName="[Table1].[Transactions]" caption="Transactions" attribute="1" defaultMemberUniqueName="[Table1].[Transactions].[All]" allUniqueName="[Table1].[Transactions].[All]" dimensionUniqueName="[Table1]" displayFolder="" count="2" memberValueDatatype="20" unbalanced="0"/>
    <cacheHierarchy uniqueName="[Table1].[Revenue]" caption="Revenue" attribute="1" defaultMemberUniqueName="[Table1].[Revenue].[All]" allUniqueName="[Table1].[Revenue].[All]" dimensionUniqueName="[Table1]" displayFolder="" count="2" memberValueDatatype="20" unbalanced="0"/>
    <cacheHierarchy uniqueName="[Table1].[Quantity Sold]" caption="Quantity Sold" attribute="1" defaultMemberUniqueName="[Table1].[Quantity Sold].[All]" allUniqueName="[Table1].[Quantity Sold].[All]" dimensionUniqueName="[Table1]" displayFolder="" count="2" memberValueDatatype="20" unbalanced="0"/>
    <cacheHierarchy uniqueName="[Table1].[User Retention Rate %]" caption="User Retention Rate %" attribute="1" defaultMemberUniqueName="[Table1].[User Retention Rate %].[All]" allUniqueName="[Table1].[User Retention Rate %].[All]" dimensionUniqueName="[Table1]" displayFolder="" count="2" memberValueDatatype="5" unbalanced="0"/>
    <cacheHierarchy uniqueName="[Table1].[Revenue Per User]" caption="Revenue Per User" attribute="1" defaultMemberUniqueName="[Table1].[Revenue Per User].[All]" allUniqueName="[Table1].[Revenue Per User].[All]" dimensionUniqueName="[Table1]" displayFolder="" count="2" memberValueDatatype="5" unbalanced="0"/>
    <cacheHierarchy uniqueName="[Table1].[Revenue Per Session]" caption="Revenue Per Session" attribute="1" defaultMemberUniqueName="[Table1].[Revenue Per Session].[All]" allUniqueName="[Table1].[Revenue Per Session].[All]" dimensionUniqueName="[Table1]" displayFolder="" count="2" memberValueDatatype="5" unbalanced="0"/>
    <cacheHierarchy uniqueName="[Table1].[Revenue Per Transactions]" caption="Revenue Per Transactions" attribute="1" defaultMemberUniqueName="[Table1].[Revenue Per Transactions].[All]" allUniqueName="[Table1].[Revenue Per Transactions].[All]" dimensionUniqueName="[Table1]" displayFolder="" count="2" memberValueDatatype="130" unbalanced="0"/>
    <cacheHierarchy uniqueName="[Table1].[Cost Per Conversion %]" caption="Cost Per Conversion %" attribute="1" defaultMemberUniqueName="[Table1].[Cost Per Conversion %].[All]" allUniqueName="[Table1].[Cost Per Conversion %].[All]" dimensionUniqueName="[Table1]" displayFolder="" count="2" memberValueDatatype="130" unbalanced="0"/>
    <cacheHierarchy uniqueName="[Table1].[Average Conversion Rate in 2020]" caption="Average Conversion Rate in 2020" attribute="1" defaultMemberUniqueName="[Table1].[Average Conversion Rate in 2020].[All]" allUniqueName="[Table1].[Average Conversion Rate in 2020].[All]" dimensionUniqueName="[Table1]" displayFolder="" count="2" memberValueDatatype="5" unbalanced="0"/>
    <cacheHierarchy uniqueName="[Table1].[Average Conversion rate 2019]" caption="Average Conversion rate 2019" attribute="1" defaultMemberUniqueName="[Table1].[Average Conversion rate 2019].[All]" allUniqueName="[Table1].[Average Conversion rate 2019].[All]" dimensionUniqueName="[Table1]" displayFolder="" count="2" memberValueDatatype="5"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2"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2"/>
      </fieldsUsage>
    </cacheHierarchy>
    <cacheHierarchy uniqueName="[Table4].[Average Conversion Rate in 2020]" caption="Average Conversion Rate in 2020" attribute="1" defaultMemberUniqueName="[Table4].[Average Conversion Rate in 2020].[All]" allUniqueName="[Table4].[Average Conversion Rate in 2020].[All]" dimensionUniqueName="[Table4]" displayFolder="" count="2" memberValueDatatype="5" unbalanced="0"/>
    <cacheHierarchy uniqueName="[Table4].[Average Conversion rate 2019]" caption="Average Conversion rate 2019" attribute="1" defaultMemberUniqueName="[Table4].[Average Conversion rate 2019].[All]" allUniqueName="[Table4].[Average Conversion rate 2019].[All]" dimensionUniqueName="[Table4]" displayFolder="" count="2" memberValueDatatype="5" unbalanced="0"/>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1"/>
        </ext>
      </extLst>
    </cacheHierarchy>
    <cacheHierarchy uniqueName="[Measures].[Sum of Users]" caption="Sum of Users" measure="1" displayFolder="" measureGroup="Table1" count="0" hidden="1">
      <extLst>
        <ext xmlns:x15="http://schemas.microsoft.com/office/spreadsheetml/2010/11/main" uri="{B97F6D7D-B522-45F9-BDA1-12C45D357490}">
          <x15:cacheHierarchy aggregatedColumn="4"/>
        </ext>
      </extLst>
    </cacheHierarchy>
    <cacheHierarchy uniqueName="[Measures].[Average of Users]" caption="Average of Users" measure="1" displayFolder="" measureGroup="Table1" count="0" hidden="1">
      <extLst>
        <ext xmlns:x15="http://schemas.microsoft.com/office/spreadsheetml/2010/11/main" uri="{B97F6D7D-B522-45F9-BDA1-12C45D357490}">
          <x15:cacheHierarchy aggregatedColumn="4"/>
        </ext>
      </extLst>
    </cacheHierarchy>
    <cacheHierarchy uniqueName="[Measures].[Sum of Transactions]" caption="Sum of Transactions" measure="1" displayFolder="" measureGroup="Table1"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Average Conversion Rate in 2020]" caption="Sum of Average Conversion Rate in 2020" measure="1" displayFolder="" measureGroup="Table4" count="0" hidden="1">
      <extLst>
        <ext xmlns:x15="http://schemas.microsoft.com/office/spreadsheetml/2010/11/main" uri="{B97F6D7D-B522-45F9-BDA1-12C45D357490}">
          <x15:cacheHierarchy aggregatedColumn="26"/>
        </ext>
      </extLst>
    </cacheHierarchy>
    <cacheHierarchy uniqueName="[Measures].[Sum of Average Conversion rate 2019]" caption="Sum of Average Conversion rate 2019" measure="1" displayFolder="" measureGroup="Table4" count="0" hidden="1">
      <extLst>
        <ext xmlns:x15="http://schemas.microsoft.com/office/spreadsheetml/2010/11/main" uri="{B97F6D7D-B522-45F9-BDA1-12C45D357490}">
          <x15:cacheHierarchy aggregatedColumn="27"/>
        </ext>
      </extLst>
    </cacheHierarchy>
    <cacheHierarchy uniqueName="[Measures].[Sum of Average Conversion Rate in 2020 2]" caption="Sum of Average Conversion Rate in 2020 2" measure="1" displayFolder="" measureGroup="Table1" count="0" hidden="1">
      <extLst>
        <ext xmlns:x15="http://schemas.microsoft.com/office/spreadsheetml/2010/11/main" uri="{B97F6D7D-B522-45F9-BDA1-12C45D357490}">
          <x15:cacheHierarchy aggregatedColumn="21"/>
        </ext>
      </extLst>
    </cacheHierarchy>
    <cacheHierarchy uniqueName="[Measures].[Sum of Average Conversion rate 2019 2]" caption="Sum of Average Conversion rate 2019 2" measure="1" displayFolder="" measureGroup="Table1"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Table1" count="0" oneField="1" hidden="1">
      <fieldsUsage count="1">
        <fieldUsage x="4"/>
      </fieldsUsage>
      <extLst>
        <ext xmlns:x15="http://schemas.microsoft.com/office/spreadsheetml/2010/11/main" uri="{B97F6D7D-B522-45F9-BDA1-12C45D357490}">
          <x15:cacheHierarchy aggregatedColumn="14"/>
        </ext>
      </extLst>
    </cacheHierarchy>
    <cacheHierarchy uniqueName="[Measures].[Sum of Bounce Rate]" caption="Sum of Bounce Rate" measure="1" displayFolder="" measureGroup="Table1" count="0" hidden="1">
      <extLst>
        <ext xmlns:x15="http://schemas.microsoft.com/office/spreadsheetml/2010/11/main" uri="{B97F6D7D-B522-45F9-BDA1-12C45D357490}">
          <x15:cacheHierarchy aggregatedColumn="8"/>
        </ext>
      </extLst>
    </cacheHierarchy>
    <cacheHierarchy uniqueName="[Measures].[Average of Bounce Rate]" caption="Average of Bounce Rate" measure="1" displayFolder="" measureGroup="Table1" count="0" hidden="1">
      <extLst>
        <ext xmlns:x15="http://schemas.microsoft.com/office/spreadsheetml/2010/11/main" uri="{B97F6D7D-B522-45F9-BDA1-12C45D357490}">
          <x15:cacheHierarchy aggregatedColumn="8"/>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Revenue Per Session]" caption="Sum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Average of Revenue Per Session]" caption="Average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Max of Conversion Rate (%)]" caption="Max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Pageviews]" caption="Sum of Pageviews" measure="1" displayFolder="" measureGroup="Table1" count="0" oneField="1" hidden="1">
      <fieldsUsage count="1">
        <fieldUsage x="5"/>
      </fieldsUsage>
      <extLst>
        <ext xmlns:x15="http://schemas.microsoft.com/office/spreadsheetml/2010/11/main" uri="{B97F6D7D-B522-45F9-BDA1-12C45D357490}">
          <x15:cacheHierarchy aggregatedColumn="9"/>
        </ext>
      </extLst>
    </cacheHierarchy>
    <cacheHierarchy uniqueName="[Measures].[Average of Pageviews]" caption="Average of Pageviews" measure="1" displayFolder="" measureGroup="Table1" count="0" hidden="1">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15"/>
        </ext>
      </extLst>
    </cacheHierarchy>
    <cacheHierarchy uniqueName="[Measures].[Count of Avg. Session Duration]" caption="Count of Avg. Session Duration" measure="1" displayFolder="" measureGroup="Table1" count="0" hidden="1">
      <extLst>
        <ext xmlns:x15="http://schemas.microsoft.com/office/spreadsheetml/2010/11/main" uri="{B97F6D7D-B522-45F9-BDA1-12C45D357490}">
          <x15:cacheHierarchy aggregatedColumn="10"/>
        </ext>
      </extLst>
    </cacheHierarchy>
    <cacheHierarchy uniqueName="[Measures].[Sum of User Retention Rate %]" caption="Sum of User Retention Rate %" measure="1" displayFolder="" measureGroup="Table1" count="0" hidden="1">
      <extLst>
        <ext xmlns:x15="http://schemas.microsoft.com/office/spreadsheetml/2010/11/main" uri="{B97F6D7D-B522-45F9-BDA1-12C45D357490}">
          <x15:cacheHierarchy aggregatedColumn="16"/>
        </ext>
      </extLst>
    </cacheHierarchy>
    <cacheHierarchy uniqueName="[Measures].[Sum of Returning Users]" caption="Sum of Returning Users" measure="1" displayFolder="" measureGroup="Table1" count="0" hidden="1">
      <extLst>
        <ext xmlns:x15="http://schemas.microsoft.com/office/spreadsheetml/2010/11/main" uri="{B97F6D7D-B522-45F9-BDA1-12C45D357490}">
          <x15:cacheHierarchy aggregatedColumn="6"/>
        </ext>
      </extLst>
    </cacheHierarchy>
    <cacheHierarchy uniqueName="[Measures].[Sum of New Users]" caption="Sum of New Users" measure="1" displayFolder="" measureGroup="Table1" count="0" hidden="1">
      <extLst>
        <ext xmlns:x15="http://schemas.microsoft.com/office/spreadsheetml/2010/11/main" uri="{B97F6D7D-B522-45F9-BDA1-12C45D357490}">
          <x15:cacheHierarchy aggregatedColumn="5"/>
        </ext>
      </extLst>
    </cacheHierarchy>
    <cacheHierarchy uniqueName="[Measures].[Sum of Revenue Per User]" caption="Sum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Per User]" caption="Average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Cost Per Conversion %]" caption="Count of Cost Per Conversion %" measure="1" displayFolder="" measureGroup="Table1" count="0" hidden="1">
      <extLst>
        <ext xmlns:x15="http://schemas.microsoft.com/office/spreadsheetml/2010/11/main" uri="{B97F6D7D-B522-45F9-BDA1-12C45D357490}">
          <x15:cacheHierarchy aggregatedColumn="20"/>
        </ext>
      </extLst>
    </cacheHierarchy>
    <cacheHierarchy uniqueName="[Measures].[Sum of Sessions]" caption="Sum of Sessions" measure="1" displayFolder="" measureGroup="Table1" count="0" hidden="1">
      <extLst>
        <ext xmlns:x15="http://schemas.microsoft.com/office/spreadsheetml/2010/11/main" uri="{B97F6D7D-B522-45F9-BDA1-12C45D357490}">
          <x15:cacheHierarchy aggregatedColumn="7"/>
        </ext>
      </extLst>
    </cacheHierarchy>
    <cacheHierarchy uniqueName="[Measures].[Count of Revenue Per Transactions]" caption="Count of Revenue Per Transactions"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esh Kedar" refreshedDate="45978.844678703703" backgroundQuery="1" createdVersion="8" refreshedVersion="8" minRefreshableVersion="3" recordCount="0" supportSubquery="1" supportAdvancedDrill="1" xr:uid="{A1528EEA-C766-4CCB-BB78-9DD4CB6DEF0B}">
  <cacheSource type="external" connectionId="1"/>
  <cacheFields count="7">
    <cacheField name="[Measures].[Sum of Users]" caption="Sum of Users" numFmtId="0" hierarchy="33" level="32767"/>
    <cacheField name="[Measures].[Sum of Returning Users]" caption="Sum of Returning Users" numFmtId="0" hierarchy="53" level="32767"/>
    <cacheField name="[Measures].[Sum of New Users]" caption="Sum of New Users" numFmtId="0" hierarchy="54" level="32767"/>
    <cacheField name="[Measures].[Sum of Transactions]" caption="Sum of Transactions" numFmtId="0" hierarchy="35" level="32767"/>
    <cacheField name="[Measures].[Average of Revenue Per Session]" caption="Average of Revenue Per Session" numFmtId="0" hierarchy="46" level="32767"/>
    <cacheField name="[Measures].[Average of Revenue Per User]" caption="Average of Revenue Per User" numFmtId="0" hierarchy="56" level="32767"/>
    <cacheField name="[Measures].[Average of Revenue]" caption="Average of Revenue" numFmtId="0" hierarchy="57" level="32767"/>
  </cacheFields>
  <cacheHierarchies count="61">
    <cacheHierarchy uniqueName="[Table1].[Source / Medium]" caption="Source / Medium" attribute="1" defaultMemberUniqueName="[Table1].[Source / Medium].[All]" allUniqueName="[Table1].[Source / Medium].[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ate]" caption="Date" attribute="1" time="1" defaultMemberUniqueName="[Table1].[Date].[All]" allUniqueName="[Table1].[Date].[All]" dimensionUniqueName="[Table1]" displayFolder="" count="2" memberValueDatatype="7" unbalanced="0"/>
    <cacheHierarchy uniqueName="[Table1].[Month of the year]" caption="Month of the year" attribute="1" defaultMemberUniqueName="[Table1].[Month of the year].[All]" allUniqueName="[Table1].[Month of the year].[All]" dimensionUniqueName="[Table1]" displayFolder="" count="0" memberValueDatatype="20" unbalanced="0"/>
    <cacheHierarchy uniqueName="[Table1].[Users]" caption="Users" attribute="1" defaultMemberUniqueName="[Table1].[Users].[All]" allUniqueName="[Table1].[Users].[All]" dimensionUniqueName="[Table1]" displayFolder="" count="0" memberValueDatatype="20" unbalanced="0"/>
    <cacheHierarchy uniqueName="[Table1].[New Users]" caption="New Users" attribute="1" defaultMemberUniqueName="[Table1].[New Users].[All]" allUniqueName="[Table1].[New Users].[All]" dimensionUniqueName="[Table1]" displayFolder="" count="0" memberValueDatatype="20" unbalanced="0"/>
    <cacheHierarchy uniqueName="[Table1].[Returning Users]" caption="Returning Users" attribute="1" defaultMemberUniqueName="[Table1].[Returning Users].[All]" allUniqueName="[Table1].[Returning Users].[All]" dimensionUniqueName="[Table1]" displayFolder="" count="0" memberValueDatatype="20" unbalanced="0"/>
    <cacheHierarchy uniqueName="[Table1].[Sessions]" caption="Sessions" attribute="1" defaultMemberUniqueName="[Table1].[Sessions].[All]" allUniqueName="[Table1].[Sessions].[All]" dimensionUniqueName="[Table1]" displayFolder="" count="0" memberValueDatatype="20" unbalanced="0"/>
    <cacheHierarchy uniqueName="[Table1].[Bounce Rate]" caption="Bounce Rate" attribute="1" defaultMemberUniqueName="[Table1].[Bounce Rate].[All]" allUniqueName="[Table1].[Bounce Rate].[All]" dimensionUniqueName="[Table1]" displayFolder="" count="0" memberValueDatatype="5" unbalanced="0"/>
    <cacheHierarchy uniqueName="[Table1].[Pageviews]" caption="Pageviews" attribute="1" defaultMemberUniqueName="[Table1].[Pageviews].[All]" allUniqueName="[Table1].[Pageviews].[All]" dimensionUniqueName="[Table1]" displayFolder="" count="0" memberValueDatatype="20" unbalanced="0"/>
    <cacheHierarchy uniqueName="[Table1].[Avg. Session Duration]" caption="Avg. Session Duration" attribute="1" time="1" defaultMemberUniqueName="[Table1].[Avg. Session Duration].[All]" allUniqueName="[Table1].[Avg. Session Duration].[All]" dimensionUniqueName="[Table1]" displayFolder="" count="0" memberValueDatatype="7" unbalanced="0"/>
    <cacheHierarchy uniqueName="[Table1].[Avg PageViews/Session]" caption="Avg PageViews/Session" attribute="1" time="1" defaultMemberUniqueName="[Table1].[Avg PageViews/Session].[All]" allUniqueName="[Table1].[Avg PageViews/Session].[All]" dimensionUniqueName="[Table1]" displayFolder="" count="0" memberValueDatatype="7"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Transactions]" caption="Transactions" attribute="1" defaultMemberUniqueName="[Table1].[Transactions].[All]" allUniqueName="[Table1].[Transactions].[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ser Retention Rate %]" caption="User Retention Rate %" attribute="1" defaultMemberUniqueName="[Table1].[User Retention Rate %].[All]" allUniqueName="[Table1].[User Retention Rate %].[All]" dimensionUniqueName="[Table1]" displayFolder="" count="0" memberValueDatatype="5" unbalanced="0"/>
    <cacheHierarchy uniqueName="[Table1].[Revenue Per User]" caption="Revenue Per User" attribute="1" defaultMemberUniqueName="[Table1].[Revenue Per User].[All]" allUniqueName="[Table1].[Revenue Per User].[All]" dimensionUniqueName="[Table1]" displayFolder="" count="0" memberValueDatatype="5" unbalanced="0"/>
    <cacheHierarchy uniqueName="[Table1].[Revenue Per Session]" caption="Revenue Per Session" attribute="1" defaultMemberUniqueName="[Table1].[Revenue Per Session].[All]" allUniqueName="[Table1].[Revenue Per Session].[All]" dimensionUniqueName="[Table1]" displayFolder="" count="0" memberValueDatatype="5" unbalanced="0"/>
    <cacheHierarchy uniqueName="[Table1].[Revenue Per Transactions]" caption="Revenue Per Transactions" attribute="1" defaultMemberUniqueName="[Table1].[Revenue Per Transactions].[All]" allUniqueName="[Table1].[Revenue Per Transactions].[All]" dimensionUniqueName="[Table1]" displayFolder="" count="0" memberValueDatatype="130" unbalanced="0"/>
    <cacheHierarchy uniqueName="[Table1].[Cost Per Conversion %]" caption="Cost Per Conversion %" attribute="1" defaultMemberUniqueName="[Table1].[Cost Per Conversion %].[All]" allUniqueName="[Table1].[Cost Per Conversion %].[All]" dimensionUniqueName="[Table1]" displayFolder="" count="0" memberValueDatatype="130" unbalanced="0"/>
    <cacheHierarchy uniqueName="[Table1].[Average Conversion Rate in 2020]" caption="Average Conversion Rate in 2020" attribute="1" defaultMemberUniqueName="[Table1].[Average Conversion Rate in 2020].[All]" allUniqueName="[Table1].[Average Conversion Rate in 2020].[All]" dimensionUniqueName="[Table1]" displayFolder="" count="0" memberValueDatatype="5" unbalanced="0"/>
    <cacheHierarchy uniqueName="[Table1].[Average Conversion rate 2019]" caption="Average Conversion rate 2019" attribute="1" defaultMemberUniqueName="[Table1].[Average Conversion rate 2019].[All]" allUniqueName="[Table1].[Average Conversion rate 2019].[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4].[Average Conversion Rate in 2020]" caption="Average Conversion Rate in 2020" attribute="1" defaultMemberUniqueName="[Table4].[Average Conversion Rate in 2020].[All]" allUniqueName="[Table4].[Average Conversion Rate in 2020].[All]" dimensionUniqueName="[Table4]" displayFolder="" count="0" memberValueDatatype="5" unbalanced="0"/>
    <cacheHierarchy uniqueName="[Table4].[Average Conversion rate 2019]" caption="Average Conversion rate 2019" attribute="1" defaultMemberUniqueName="[Table4].[Average Conversion rate 2019].[All]" allUniqueName="[Table4].[Average Conversion rate 2019].[All]" dimensionUniqueName="[Table4]"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1"/>
        </ext>
      </extLst>
    </cacheHierarchy>
    <cacheHierarchy uniqueName="[Measures].[Sum of Users]" caption="Sum of Users"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Average of Users]" caption="Average of Users" measure="1" displayFolder="" measureGroup="Table1" count="0" hidden="1">
      <extLst>
        <ext xmlns:x15="http://schemas.microsoft.com/office/spreadsheetml/2010/11/main" uri="{B97F6D7D-B522-45F9-BDA1-12C45D357490}">
          <x15:cacheHierarchy aggregatedColumn="4"/>
        </ext>
      </extLst>
    </cacheHierarchy>
    <cacheHierarchy uniqueName="[Measures].[Sum of Transactions]" caption="Sum of Transactions" measure="1" displayFolder="" measureGroup="Table1"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Average Conversion Rate in 2020]" caption="Sum of Average Conversion Rate in 2020" measure="1" displayFolder="" measureGroup="Table4" count="0" hidden="1">
      <extLst>
        <ext xmlns:x15="http://schemas.microsoft.com/office/spreadsheetml/2010/11/main" uri="{B97F6D7D-B522-45F9-BDA1-12C45D357490}">
          <x15:cacheHierarchy aggregatedColumn="26"/>
        </ext>
      </extLst>
    </cacheHierarchy>
    <cacheHierarchy uniqueName="[Measures].[Sum of Average Conversion rate 2019]" caption="Sum of Average Conversion rate 2019" measure="1" displayFolder="" measureGroup="Table4" count="0" hidden="1">
      <extLst>
        <ext xmlns:x15="http://schemas.microsoft.com/office/spreadsheetml/2010/11/main" uri="{B97F6D7D-B522-45F9-BDA1-12C45D357490}">
          <x15:cacheHierarchy aggregatedColumn="27"/>
        </ext>
      </extLst>
    </cacheHierarchy>
    <cacheHierarchy uniqueName="[Measures].[Sum of Average Conversion Rate in 2020 2]" caption="Sum of Average Conversion Rate in 2020 2" measure="1" displayFolder="" measureGroup="Table1" count="0" hidden="1">
      <extLst>
        <ext xmlns:x15="http://schemas.microsoft.com/office/spreadsheetml/2010/11/main" uri="{B97F6D7D-B522-45F9-BDA1-12C45D357490}">
          <x15:cacheHierarchy aggregatedColumn="21"/>
        </ext>
      </extLst>
    </cacheHierarchy>
    <cacheHierarchy uniqueName="[Measures].[Sum of Average Conversion rate 2019 2]" caption="Sum of Average Conversion rate 2019 2" measure="1" displayFolder="" measureGroup="Table1"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Bounce Rate]" caption="Sum of Bounce Rate" measure="1" displayFolder="" measureGroup="Table1" count="0" hidden="1">
      <extLst>
        <ext xmlns:x15="http://schemas.microsoft.com/office/spreadsheetml/2010/11/main" uri="{B97F6D7D-B522-45F9-BDA1-12C45D357490}">
          <x15:cacheHierarchy aggregatedColumn="8"/>
        </ext>
      </extLst>
    </cacheHierarchy>
    <cacheHierarchy uniqueName="[Measures].[Average of Bounce Rate]" caption="Average of Bounce Rate" measure="1" displayFolder="" measureGroup="Table1" count="0" hidden="1">
      <extLst>
        <ext xmlns:x15="http://schemas.microsoft.com/office/spreadsheetml/2010/11/main" uri="{B97F6D7D-B522-45F9-BDA1-12C45D357490}">
          <x15:cacheHierarchy aggregatedColumn="8"/>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Revenue Per Session]" caption="Sum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Average of Revenue Per Session]" caption="Average of Revenue Per Session" measure="1" displayFolder="" measureGroup="Table1" count="0" oneField="1" hidden="1">
      <fieldsUsage count="1">
        <fieldUsage x="4"/>
      </fieldsUsage>
      <extLst>
        <ext xmlns:x15="http://schemas.microsoft.com/office/spreadsheetml/2010/11/main" uri="{B97F6D7D-B522-45F9-BDA1-12C45D357490}">
          <x15:cacheHierarchy aggregatedColumn="18"/>
        </ext>
      </extLst>
    </cacheHierarchy>
    <cacheHierarchy uniqueName="[Measures].[Max of Conversion Rate (%)]" caption="Max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Pageviews]" caption="Sum of Pageviews" measure="1" displayFolder="" measureGroup="Table1" count="0" hidden="1">
      <extLst>
        <ext xmlns:x15="http://schemas.microsoft.com/office/spreadsheetml/2010/11/main" uri="{B97F6D7D-B522-45F9-BDA1-12C45D357490}">
          <x15:cacheHierarchy aggregatedColumn="9"/>
        </ext>
      </extLst>
    </cacheHierarchy>
    <cacheHierarchy uniqueName="[Measures].[Average of Pageviews]" caption="Average of Pageviews" measure="1" displayFolder="" measureGroup="Table1" count="0" hidden="1">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15"/>
        </ext>
      </extLst>
    </cacheHierarchy>
    <cacheHierarchy uniqueName="[Measures].[Count of Avg. Session Duration]" caption="Count of Avg. Session Duration" measure="1" displayFolder="" measureGroup="Table1" count="0" hidden="1">
      <extLst>
        <ext xmlns:x15="http://schemas.microsoft.com/office/spreadsheetml/2010/11/main" uri="{B97F6D7D-B522-45F9-BDA1-12C45D357490}">
          <x15:cacheHierarchy aggregatedColumn="10"/>
        </ext>
      </extLst>
    </cacheHierarchy>
    <cacheHierarchy uniqueName="[Measures].[Sum of User Retention Rate %]" caption="Sum of User Retention Rate %" measure="1" displayFolder="" measureGroup="Table1" count="0" hidden="1">
      <extLst>
        <ext xmlns:x15="http://schemas.microsoft.com/office/spreadsheetml/2010/11/main" uri="{B97F6D7D-B522-45F9-BDA1-12C45D357490}">
          <x15:cacheHierarchy aggregatedColumn="16"/>
        </ext>
      </extLst>
    </cacheHierarchy>
    <cacheHierarchy uniqueName="[Measures].[Sum of Returning Users]" caption="Sum of Returning Users"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New Users]" caption="Sum of New Users"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Revenue Per User]" caption="Sum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Per User]" caption="Average of Revenue Per User" measure="1" displayFolder="" measureGroup="Table1" count="0" oneField="1" hidden="1">
      <fieldsUsage count="1">
        <fieldUsage x="5"/>
      </fieldsUsage>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Table1" count="0" oneField="1" hidden="1">
      <fieldsUsage count="1">
        <fieldUsage x="6"/>
      </fieldsUsage>
      <extLst>
        <ext xmlns:x15="http://schemas.microsoft.com/office/spreadsheetml/2010/11/main" uri="{B97F6D7D-B522-45F9-BDA1-12C45D357490}">
          <x15:cacheHierarchy aggregatedColumn="14"/>
        </ext>
      </extLst>
    </cacheHierarchy>
    <cacheHierarchy uniqueName="[Measures].[Count of Cost Per Conversion %]" caption="Count of Cost Per Conversion %" measure="1" displayFolder="" measureGroup="Table1" count="0" hidden="1">
      <extLst>
        <ext xmlns:x15="http://schemas.microsoft.com/office/spreadsheetml/2010/11/main" uri="{B97F6D7D-B522-45F9-BDA1-12C45D357490}">
          <x15:cacheHierarchy aggregatedColumn="20"/>
        </ext>
      </extLst>
    </cacheHierarchy>
    <cacheHierarchy uniqueName="[Measures].[Sum of Sessions]" caption="Sum of Sessions" measure="1" displayFolder="" measureGroup="Table1" count="0" hidden="1">
      <extLst>
        <ext xmlns:x15="http://schemas.microsoft.com/office/spreadsheetml/2010/11/main" uri="{B97F6D7D-B522-45F9-BDA1-12C45D357490}">
          <x15:cacheHierarchy aggregatedColumn="7"/>
        </ext>
      </extLst>
    </cacheHierarchy>
    <cacheHierarchy uniqueName="[Measures].[Count of Revenue Per Transactions]" caption="Count of Revenue Per Transactions"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esh Kedar" refreshedDate="45978.844679398149" backgroundQuery="1" createdVersion="8" refreshedVersion="8" minRefreshableVersion="3" recordCount="0" supportSubquery="1" supportAdvancedDrill="1" xr:uid="{CE4B0972-1B24-4FAF-AE2A-ABE4ACEDA207}">
  <cacheSource type="external" connectionId="1"/>
  <cacheFields count="2">
    <cacheField name="[Table1].[Date (Month)].[Date (Month)]" caption="Date (Month)" numFmtId="0" hierarchy="25" level="1">
      <sharedItems count="12">
        <s v="Jan"/>
        <s v="Feb"/>
        <s v="Mar"/>
        <s v="Apr"/>
        <s v="May"/>
        <s v="Jun"/>
        <s v="Jul"/>
        <s v="Aug"/>
        <s v="Sep"/>
        <s v="Oct"/>
        <s v="Nov"/>
        <s v="Dec"/>
      </sharedItems>
    </cacheField>
    <cacheField name="[Measures].[Sum of Users]" caption="Sum of Users" numFmtId="0" hierarchy="33" level="32767"/>
  </cacheFields>
  <cacheHierarchies count="61">
    <cacheHierarchy uniqueName="[Table1].[Source / Medium]" caption="Source / Medium" attribute="1" defaultMemberUniqueName="[Table1].[Source / Medium].[All]" allUniqueName="[Table1].[Source / Medium].[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ate]" caption="Date" attribute="1" time="1" defaultMemberUniqueName="[Table1].[Date].[All]" allUniqueName="[Table1].[Date].[All]" dimensionUniqueName="[Table1]" displayFolder="" count="2" memberValueDatatype="7" unbalanced="0"/>
    <cacheHierarchy uniqueName="[Table1].[Month of the year]" caption="Month of the year" attribute="1" defaultMemberUniqueName="[Table1].[Month of the year].[All]" allUniqueName="[Table1].[Month of the year].[All]" dimensionUniqueName="[Table1]" displayFolder="" count="0" memberValueDatatype="20" unbalanced="0"/>
    <cacheHierarchy uniqueName="[Table1].[Users]" caption="Users" attribute="1" defaultMemberUniqueName="[Table1].[Users].[All]" allUniqueName="[Table1].[Users].[All]" dimensionUniqueName="[Table1]" displayFolder="" count="0" memberValueDatatype="20" unbalanced="0"/>
    <cacheHierarchy uniqueName="[Table1].[New Users]" caption="New Users" attribute="1" defaultMemberUniqueName="[Table1].[New Users].[All]" allUniqueName="[Table1].[New Users].[All]" dimensionUniqueName="[Table1]" displayFolder="" count="0" memberValueDatatype="20" unbalanced="0"/>
    <cacheHierarchy uniqueName="[Table1].[Returning Users]" caption="Returning Users" attribute="1" defaultMemberUniqueName="[Table1].[Returning Users].[All]" allUniqueName="[Table1].[Returning Users].[All]" dimensionUniqueName="[Table1]" displayFolder="" count="0" memberValueDatatype="20" unbalanced="0"/>
    <cacheHierarchy uniqueName="[Table1].[Sessions]" caption="Sessions" attribute="1" defaultMemberUniqueName="[Table1].[Sessions].[All]" allUniqueName="[Table1].[Sessions].[All]" dimensionUniqueName="[Table1]" displayFolder="" count="0" memberValueDatatype="20" unbalanced="0"/>
    <cacheHierarchy uniqueName="[Table1].[Bounce Rate]" caption="Bounce Rate" attribute="1" defaultMemberUniqueName="[Table1].[Bounce Rate].[All]" allUniqueName="[Table1].[Bounce Rate].[All]" dimensionUniqueName="[Table1]" displayFolder="" count="0" memberValueDatatype="5" unbalanced="0"/>
    <cacheHierarchy uniqueName="[Table1].[Pageviews]" caption="Pageviews" attribute="1" defaultMemberUniqueName="[Table1].[Pageviews].[All]" allUniqueName="[Table1].[Pageviews].[All]" dimensionUniqueName="[Table1]" displayFolder="" count="0" memberValueDatatype="20" unbalanced="0"/>
    <cacheHierarchy uniqueName="[Table1].[Avg. Session Duration]" caption="Avg. Session Duration" attribute="1" time="1" defaultMemberUniqueName="[Table1].[Avg. Session Duration].[All]" allUniqueName="[Table1].[Avg. Session Duration].[All]" dimensionUniqueName="[Table1]" displayFolder="" count="0" memberValueDatatype="7" unbalanced="0"/>
    <cacheHierarchy uniqueName="[Table1].[Avg PageViews/Session]" caption="Avg PageViews/Session" attribute="1" time="1" defaultMemberUniqueName="[Table1].[Avg PageViews/Session].[All]" allUniqueName="[Table1].[Avg PageViews/Session].[All]" dimensionUniqueName="[Table1]" displayFolder="" count="0" memberValueDatatype="7"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Transactions]" caption="Transactions" attribute="1" defaultMemberUniqueName="[Table1].[Transactions].[All]" allUniqueName="[Table1].[Transactions].[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ser Retention Rate %]" caption="User Retention Rate %" attribute="1" defaultMemberUniqueName="[Table1].[User Retention Rate %].[All]" allUniqueName="[Table1].[User Retention Rate %].[All]" dimensionUniqueName="[Table1]" displayFolder="" count="0" memberValueDatatype="5" unbalanced="0"/>
    <cacheHierarchy uniqueName="[Table1].[Revenue Per User]" caption="Revenue Per User" attribute="1" defaultMemberUniqueName="[Table1].[Revenue Per User].[All]" allUniqueName="[Table1].[Revenue Per User].[All]" dimensionUniqueName="[Table1]" displayFolder="" count="0" memberValueDatatype="5" unbalanced="0"/>
    <cacheHierarchy uniqueName="[Table1].[Revenue Per Session]" caption="Revenue Per Session" attribute="1" defaultMemberUniqueName="[Table1].[Revenue Per Session].[All]" allUniqueName="[Table1].[Revenue Per Session].[All]" dimensionUniqueName="[Table1]" displayFolder="" count="0" memberValueDatatype="5" unbalanced="0"/>
    <cacheHierarchy uniqueName="[Table1].[Revenue Per Transactions]" caption="Revenue Per Transactions" attribute="1" defaultMemberUniqueName="[Table1].[Revenue Per Transactions].[All]" allUniqueName="[Table1].[Revenue Per Transactions].[All]" dimensionUniqueName="[Table1]" displayFolder="" count="0" memberValueDatatype="130" unbalanced="0"/>
    <cacheHierarchy uniqueName="[Table1].[Cost Per Conversion %]" caption="Cost Per Conversion %" attribute="1" defaultMemberUniqueName="[Table1].[Cost Per Conversion %].[All]" allUniqueName="[Table1].[Cost Per Conversion %].[All]" dimensionUniqueName="[Table1]" displayFolder="" count="0" memberValueDatatype="130" unbalanced="0"/>
    <cacheHierarchy uniqueName="[Table1].[Average Conversion Rate in 2020]" caption="Average Conversion Rate in 2020" attribute="1" defaultMemberUniqueName="[Table1].[Average Conversion Rate in 2020].[All]" allUniqueName="[Table1].[Average Conversion Rate in 2020].[All]" dimensionUniqueName="[Table1]" displayFolder="" count="0" memberValueDatatype="5" unbalanced="0"/>
    <cacheHierarchy uniqueName="[Table1].[Average Conversion rate 2019]" caption="Average Conversion rate 2019" attribute="1" defaultMemberUniqueName="[Table1].[Average Conversion rate 2019].[All]" allUniqueName="[Table1].[Average Conversion rate 2019].[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0"/>
      </fieldsUsage>
    </cacheHierarchy>
    <cacheHierarchy uniqueName="[Table4].[Average Conversion Rate in 2020]" caption="Average Conversion Rate in 2020" attribute="1" defaultMemberUniqueName="[Table4].[Average Conversion Rate in 2020].[All]" allUniqueName="[Table4].[Average Conversion Rate in 2020].[All]" dimensionUniqueName="[Table4]" displayFolder="" count="0" memberValueDatatype="5" unbalanced="0"/>
    <cacheHierarchy uniqueName="[Table4].[Average Conversion rate 2019]" caption="Average Conversion rate 2019" attribute="1" defaultMemberUniqueName="[Table4].[Average Conversion rate 2019].[All]" allUniqueName="[Table4].[Average Conversion rate 2019].[All]" dimensionUniqueName="[Table4]"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1"/>
        </ext>
      </extLst>
    </cacheHierarchy>
    <cacheHierarchy uniqueName="[Measures].[Sum of Users]" caption="Sum of Users"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Users]" caption="Average of Users" measure="1" displayFolder="" measureGroup="Table1" count="0" hidden="1">
      <extLst>
        <ext xmlns:x15="http://schemas.microsoft.com/office/spreadsheetml/2010/11/main" uri="{B97F6D7D-B522-45F9-BDA1-12C45D357490}">
          <x15:cacheHierarchy aggregatedColumn="4"/>
        </ext>
      </extLst>
    </cacheHierarchy>
    <cacheHierarchy uniqueName="[Measures].[Sum of Transactions]" caption="Sum of Transactions" measure="1" displayFolder="" measureGroup="Table1" count="0" hidden="1">
      <extLst>
        <ext xmlns:x15="http://schemas.microsoft.com/office/spreadsheetml/2010/11/main" uri="{B97F6D7D-B522-45F9-BDA1-12C45D357490}">
          <x15:cacheHierarchy aggregatedColumn="13"/>
        </ext>
      </extLst>
    </cacheHierarchy>
    <cacheHierarchy uniqueName="[Measures].[Sum of Average Conversion Rate in 2020]" caption="Sum of Average Conversion Rate in 2020" measure="1" displayFolder="" measureGroup="Table4" count="0" hidden="1">
      <extLst>
        <ext xmlns:x15="http://schemas.microsoft.com/office/spreadsheetml/2010/11/main" uri="{B97F6D7D-B522-45F9-BDA1-12C45D357490}">
          <x15:cacheHierarchy aggregatedColumn="26"/>
        </ext>
      </extLst>
    </cacheHierarchy>
    <cacheHierarchy uniqueName="[Measures].[Sum of Average Conversion rate 2019]" caption="Sum of Average Conversion rate 2019" measure="1" displayFolder="" measureGroup="Table4" count="0" hidden="1">
      <extLst>
        <ext xmlns:x15="http://schemas.microsoft.com/office/spreadsheetml/2010/11/main" uri="{B97F6D7D-B522-45F9-BDA1-12C45D357490}">
          <x15:cacheHierarchy aggregatedColumn="27"/>
        </ext>
      </extLst>
    </cacheHierarchy>
    <cacheHierarchy uniqueName="[Measures].[Sum of Average Conversion Rate in 2020 2]" caption="Sum of Average Conversion Rate in 2020 2" measure="1" displayFolder="" measureGroup="Table1" count="0" hidden="1">
      <extLst>
        <ext xmlns:x15="http://schemas.microsoft.com/office/spreadsheetml/2010/11/main" uri="{B97F6D7D-B522-45F9-BDA1-12C45D357490}">
          <x15:cacheHierarchy aggregatedColumn="21"/>
        </ext>
      </extLst>
    </cacheHierarchy>
    <cacheHierarchy uniqueName="[Measures].[Sum of Average Conversion rate 2019 2]" caption="Sum of Average Conversion rate 2019 2" measure="1" displayFolder="" measureGroup="Table1"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Bounce Rate]" caption="Sum of Bounce Rate" measure="1" displayFolder="" measureGroup="Table1" count="0" hidden="1">
      <extLst>
        <ext xmlns:x15="http://schemas.microsoft.com/office/spreadsheetml/2010/11/main" uri="{B97F6D7D-B522-45F9-BDA1-12C45D357490}">
          <x15:cacheHierarchy aggregatedColumn="8"/>
        </ext>
      </extLst>
    </cacheHierarchy>
    <cacheHierarchy uniqueName="[Measures].[Average of Bounce Rate]" caption="Average of Bounce Rate" measure="1" displayFolder="" measureGroup="Table1" count="0" hidden="1">
      <extLst>
        <ext xmlns:x15="http://schemas.microsoft.com/office/spreadsheetml/2010/11/main" uri="{B97F6D7D-B522-45F9-BDA1-12C45D357490}">
          <x15:cacheHierarchy aggregatedColumn="8"/>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Revenue Per Session]" caption="Sum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Average of Revenue Per Session]" caption="Average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Max of Conversion Rate (%)]" caption="Max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Pageviews]" caption="Sum of Pageviews" measure="1" displayFolder="" measureGroup="Table1" count="0" hidden="1">
      <extLst>
        <ext xmlns:x15="http://schemas.microsoft.com/office/spreadsheetml/2010/11/main" uri="{B97F6D7D-B522-45F9-BDA1-12C45D357490}">
          <x15:cacheHierarchy aggregatedColumn="9"/>
        </ext>
      </extLst>
    </cacheHierarchy>
    <cacheHierarchy uniqueName="[Measures].[Average of Pageviews]" caption="Average of Pageviews" measure="1" displayFolder="" measureGroup="Table1" count="0" hidden="1">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15"/>
        </ext>
      </extLst>
    </cacheHierarchy>
    <cacheHierarchy uniqueName="[Measures].[Count of Avg. Session Duration]" caption="Count of Avg. Session Duration" measure="1" displayFolder="" measureGroup="Table1" count="0" hidden="1">
      <extLst>
        <ext xmlns:x15="http://schemas.microsoft.com/office/spreadsheetml/2010/11/main" uri="{B97F6D7D-B522-45F9-BDA1-12C45D357490}">
          <x15:cacheHierarchy aggregatedColumn="10"/>
        </ext>
      </extLst>
    </cacheHierarchy>
    <cacheHierarchy uniqueName="[Measures].[Sum of User Retention Rate %]" caption="Sum of User Retention Rate %" measure="1" displayFolder="" measureGroup="Table1" count="0" hidden="1">
      <extLst>
        <ext xmlns:x15="http://schemas.microsoft.com/office/spreadsheetml/2010/11/main" uri="{B97F6D7D-B522-45F9-BDA1-12C45D357490}">
          <x15:cacheHierarchy aggregatedColumn="16"/>
        </ext>
      </extLst>
    </cacheHierarchy>
    <cacheHierarchy uniqueName="[Measures].[Sum of Returning Users]" caption="Sum of Returning Users" measure="1" displayFolder="" measureGroup="Table1" count="0" hidden="1">
      <extLst>
        <ext xmlns:x15="http://schemas.microsoft.com/office/spreadsheetml/2010/11/main" uri="{B97F6D7D-B522-45F9-BDA1-12C45D357490}">
          <x15:cacheHierarchy aggregatedColumn="6"/>
        </ext>
      </extLst>
    </cacheHierarchy>
    <cacheHierarchy uniqueName="[Measures].[Sum of New Users]" caption="Sum of New Users" measure="1" displayFolder="" measureGroup="Table1" count="0" hidden="1">
      <extLst>
        <ext xmlns:x15="http://schemas.microsoft.com/office/spreadsheetml/2010/11/main" uri="{B97F6D7D-B522-45F9-BDA1-12C45D357490}">
          <x15:cacheHierarchy aggregatedColumn="5"/>
        </ext>
      </extLst>
    </cacheHierarchy>
    <cacheHierarchy uniqueName="[Measures].[Sum of Revenue Per User]" caption="Sum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Per User]" caption="Average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Cost Per Conversion %]" caption="Count of Cost Per Conversion %" measure="1" displayFolder="" measureGroup="Table1" count="0" hidden="1">
      <extLst>
        <ext xmlns:x15="http://schemas.microsoft.com/office/spreadsheetml/2010/11/main" uri="{B97F6D7D-B522-45F9-BDA1-12C45D357490}">
          <x15:cacheHierarchy aggregatedColumn="20"/>
        </ext>
      </extLst>
    </cacheHierarchy>
    <cacheHierarchy uniqueName="[Measures].[Sum of Sessions]" caption="Sum of Sessions" measure="1" displayFolder="" measureGroup="Table1" count="0" hidden="1">
      <extLst>
        <ext xmlns:x15="http://schemas.microsoft.com/office/spreadsheetml/2010/11/main" uri="{B97F6D7D-B522-45F9-BDA1-12C45D357490}">
          <x15:cacheHierarchy aggregatedColumn="7"/>
        </ext>
      </extLst>
    </cacheHierarchy>
    <cacheHierarchy uniqueName="[Measures].[Count of Revenue Per Transactions]" caption="Count of Revenue Per Transactions"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esh Kedar" refreshedDate="45978.844679861111" backgroundQuery="1" createdVersion="8" refreshedVersion="8" minRefreshableVersion="3" recordCount="0" supportSubquery="1" supportAdvancedDrill="1" xr:uid="{20115C4D-DD01-4F23-8C74-64A425D57FFC}">
  <cacheSource type="external" connectionId="1"/>
  <cacheFields count="2">
    <cacheField name="[Table1].[Source / Medium].[Source / Medium]" caption="Source / Medium" numFmtId="0" level="1">
      <sharedItems count="23">
        <s v="A"/>
        <s v="B"/>
        <s v="C"/>
        <s v="D"/>
        <s v="E"/>
        <s v="F"/>
        <s v="G"/>
        <s v="H"/>
        <s v="I"/>
        <s v="J"/>
        <s v="K"/>
        <s v="L"/>
        <s v="M"/>
        <s v="N"/>
        <s v="O"/>
        <s v="P"/>
        <s v="R"/>
        <s v="S"/>
        <s v="T"/>
        <s v="U"/>
        <s v="V"/>
        <s v="Y"/>
        <s v="Z"/>
      </sharedItems>
    </cacheField>
    <cacheField name="[Measures].[Sum of Pageviews]" caption="Sum of Pageviews" numFmtId="0" hierarchy="48" level="32767"/>
  </cacheFields>
  <cacheHierarchies count="61">
    <cacheHierarchy uniqueName="[Table1].[Source / Medium]" caption="Source / Medium" attribute="1" defaultMemberUniqueName="[Table1].[Source / Medium].[All]" allUniqueName="[Table1].[Source / Medium].[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0" memberValueDatatype="20" unbalanced="0"/>
    <cacheHierarchy uniqueName="[Table1].[Date]" caption="Date" attribute="1" time="1" defaultMemberUniqueName="[Table1].[Date].[All]" allUniqueName="[Table1].[Date].[All]" dimensionUniqueName="[Table1]" displayFolder="" count="2" memberValueDatatype="7" unbalanced="0"/>
    <cacheHierarchy uniqueName="[Table1].[Month of the year]" caption="Month of the year" attribute="1" defaultMemberUniqueName="[Table1].[Month of the year].[All]" allUniqueName="[Table1].[Month of the year].[All]" dimensionUniqueName="[Table1]" displayFolder="" count="0" memberValueDatatype="20" unbalanced="0"/>
    <cacheHierarchy uniqueName="[Table1].[Users]" caption="Users" attribute="1" defaultMemberUniqueName="[Table1].[Users].[All]" allUniqueName="[Table1].[Users].[All]" dimensionUniqueName="[Table1]" displayFolder="" count="0" memberValueDatatype="20" unbalanced="0"/>
    <cacheHierarchy uniqueName="[Table1].[New Users]" caption="New Users" attribute="1" defaultMemberUniqueName="[Table1].[New Users].[All]" allUniqueName="[Table1].[New Users].[All]" dimensionUniqueName="[Table1]" displayFolder="" count="0" memberValueDatatype="20" unbalanced="0"/>
    <cacheHierarchy uniqueName="[Table1].[Returning Users]" caption="Returning Users" attribute="1" defaultMemberUniqueName="[Table1].[Returning Users].[All]" allUniqueName="[Table1].[Returning Users].[All]" dimensionUniqueName="[Table1]" displayFolder="" count="0" memberValueDatatype="20" unbalanced="0"/>
    <cacheHierarchy uniqueName="[Table1].[Sessions]" caption="Sessions" attribute="1" defaultMemberUniqueName="[Table1].[Sessions].[All]" allUniqueName="[Table1].[Sessions].[All]" dimensionUniqueName="[Table1]" displayFolder="" count="0" memberValueDatatype="20" unbalanced="0"/>
    <cacheHierarchy uniqueName="[Table1].[Bounce Rate]" caption="Bounce Rate" attribute="1" defaultMemberUniqueName="[Table1].[Bounce Rate].[All]" allUniqueName="[Table1].[Bounce Rate].[All]" dimensionUniqueName="[Table1]" displayFolder="" count="0" memberValueDatatype="5" unbalanced="0"/>
    <cacheHierarchy uniqueName="[Table1].[Pageviews]" caption="Pageviews" attribute="1" defaultMemberUniqueName="[Table1].[Pageviews].[All]" allUniqueName="[Table1].[Pageviews].[All]" dimensionUniqueName="[Table1]" displayFolder="" count="0" memberValueDatatype="20" unbalanced="0"/>
    <cacheHierarchy uniqueName="[Table1].[Avg. Session Duration]" caption="Avg. Session Duration" attribute="1" time="1" defaultMemberUniqueName="[Table1].[Avg. Session Duration].[All]" allUniqueName="[Table1].[Avg. Session Duration].[All]" dimensionUniqueName="[Table1]" displayFolder="" count="0" memberValueDatatype="7" unbalanced="0"/>
    <cacheHierarchy uniqueName="[Table1].[Avg PageViews/Session]" caption="Avg PageViews/Session" attribute="1" time="1" defaultMemberUniqueName="[Table1].[Avg PageViews/Session].[All]" allUniqueName="[Table1].[Avg PageViews/Session].[All]" dimensionUniqueName="[Table1]" displayFolder="" count="0" memberValueDatatype="7"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Transactions]" caption="Transactions" attribute="1" defaultMemberUniqueName="[Table1].[Transactions].[All]" allUniqueName="[Table1].[Transactions].[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ser Retention Rate %]" caption="User Retention Rate %" attribute="1" defaultMemberUniqueName="[Table1].[User Retention Rate %].[All]" allUniqueName="[Table1].[User Retention Rate %].[All]" dimensionUniqueName="[Table1]" displayFolder="" count="0" memberValueDatatype="5" unbalanced="0"/>
    <cacheHierarchy uniqueName="[Table1].[Revenue Per User]" caption="Revenue Per User" attribute="1" defaultMemberUniqueName="[Table1].[Revenue Per User].[All]" allUniqueName="[Table1].[Revenue Per User].[All]" dimensionUniqueName="[Table1]" displayFolder="" count="0" memberValueDatatype="5" unbalanced="0"/>
    <cacheHierarchy uniqueName="[Table1].[Revenue Per Session]" caption="Revenue Per Session" attribute="1" defaultMemberUniqueName="[Table1].[Revenue Per Session].[All]" allUniqueName="[Table1].[Revenue Per Session].[All]" dimensionUniqueName="[Table1]" displayFolder="" count="0" memberValueDatatype="5" unbalanced="0"/>
    <cacheHierarchy uniqueName="[Table1].[Revenue Per Transactions]" caption="Revenue Per Transactions" attribute="1" defaultMemberUniqueName="[Table1].[Revenue Per Transactions].[All]" allUniqueName="[Table1].[Revenue Per Transactions].[All]" dimensionUniqueName="[Table1]" displayFolder="" count="0" memberValueDatatype="130" unbalanced="0"/>
    <cacheHierarchy uniqueName="[Table1].[Cost Per Conversion %]" caption="Cost Per Conversion %" attribute="1" defaultMemberUniqueName="[Table1].[Cost Per Conversion %].[All]" allUniqueName="[Table1].[Cost Per Conversion %].[All]" dimensionUniqueName="[Table1]" displayFolder="" count="0" memberValueDatatype="130" unbalanced="0"/>
    <cacheHierarchy uniqueName="[Table1].[Average Conversion Rate in 2020]" caption="Average Conversion Rate in 2020" attribute="1" defaultMemberUniqueName="[Table1].[Average Conversion Rate in 2020].[All]" allUniqueName="[Table1].[Average Conversion Rate in 2020].[All]" dimensionUniqueName="[Table1]" displayFolder="" count="0" memberValueDatatype="5" unbalanced="0"/>
    <cacheHierarchy uniqueName="[Table1].[Average Conversion rate 2019]" caption="Average Conversion rate 2019" attribute="1" defaultMemberUniqueName="[Table1].[Average Conversion rate 2019].[All]" allUniqueName="[Table1].[Average Conversion rate 2019].[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4].[Average Conversion Rate in 2020]" caption="Average Conversion Rate in 2020" attribute="1" defaultMemberUniqueName="[Table4].[Average Conversion Rate in 2020].[All]" allUniqueName="[Table4].[Average Conversion Rate in 2020].[All]" dimensionUniqueName="[Table4]" displayFolder="" count="0" memberValueDatatype="5" unbalanced="0"/>
    <cacheHierarchy uniqueName="[Table4].[Average Conversion rate 2019]" caption="Average Conversion rate 2019" attribute="1" defaultMemberUniqueName="[Table4].[Average Conversion rate 2019].[All]" allUniqueName="[Table4].[Average Conversion rate 2019].[All]" dimensionUniqueName="[Table4]"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1"/>
        </ext>
      </extLst>
    </cacheHierarchy>
    <cacheHierarchy uniqueName="[Measures].[Sum of Users]" caption="Sum of Users" measure="1" displayFolder="" measureGroup="Table1" count="0" hidden="1">
      <extLst>
        <ext xmlns:x15="http://schemas.microsoft.com/office/spreadsheetml/2010/11/main" uri="{B97F6D7D-B522-45F9-BDA1-12C45D357490}">
          <x15:cacheHierarchy aggregatedColumn="4"/>
        </ext>
      </extLst>
    </cacheHierarchy>
    <cacheHierarchy uniqueName="[Measures].[Average of Users]" caption="Average of Users" measure="1" displayFolder="" measureGroup="Table1" count="0" hidden="1">
      <extLst>
        <ext xmlns:x15="http://schemas.microsoft.com/office/spreadsheetml/2010/11/main" uri="{B97F6D7D-B522-45F9-BDA1-12C45D357490}">
          <x15:cacheHierarchy aggregatedColumn="4"/>
        </ext>
      </extLst>
    </cacheHierarchy>
    <cacheHierarchy uniqueName="[Measures].[Sum of Transactions]" caption="Sum of Transactions" measure="1" displayFolder="" measureGroup="Table1" count="0" hidden="1">
      <extLst>
        <ext xmlns:x15="http://schemas.microsoft.com/office/spreadsheetml/2010/11/main" uri="{B97F6D7D-B522-45F9-BDA1-12C45D357490}">
          <x15:cacheHierarchy aggregatedColumn="13"/>
        </ext>
      </extLst>
    </cacheHierarchy>
    <cacheHierarchy uniqueName="[Measures].[Sum of Average Conversion Rate in 2020]" caption="Sum of Average Conversion Rate in 2020" measure="1" displayFolder="" measureGroup="Table4" count="0" hidden="1">
      <extLst>
        <ext xmlns:x15="http://schemas.microsoft.com/office/spreadsheetml/2010/11/main" uri="{B97F6D7D-B522-45F9-BDA1-12C45D357490}">
          <x15:cacheHierarchy aggregatedColumn="26"/>
        </ext>
      </extLst>
    </cacheHierarchy>
    <cacheHierarchy uniqueName="[Measures].[Sum of Average Conversion rate 2019]" caption="Sum of Average Conversion rate 2019" measure="1" displayFolder="" measureGroup="Table4" count="0" hidden="1">
      <extLst>
        <ext xmlns:x15="http://schemas.microsoft.com/office/spreadsheetml/2010/11/main" uri="{B97F6D7D-B522-45F9-BDA1-12C45D357490}">
          <x15:cacheHierarchy aggregatedColumn="27"/>
        </ext>
      </extLst>
    </cacheHierarchy>
    <cacheHierarchy uniqueName="[Measures].[Sum of Average Conversion Rate in 2020 2]" caption="Sum of Average Conversion Rate in 2020 2" measure="1" displayFolder="" measureGroup="Table1" count="0" hidden="1">
      <extLst>
        <ext xmlns:x15="http://schemas.microsoft.com/office/spreadsheetml/2010/11/main" uri="{B97F6D7D-B522-45F9-BDA1-12C45D357490}">
          <x15:cacheHierarchy aggregatedColumn="21"/>
        </ext>
      </extLst>
    </cacheHierarchy>
    <cacheHierarchy uniqueName="[Measures].[Sum of Average Conversion rate 2019 2]" caption="Sum of Average Conversion rate 2019 2" measure="1" displayFolder="" measureGroup="Table1"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Bounce Rate]" caption="Sum of Bounce Rate" measure="1" displayFolder="" measureGroup="Table1" count="0" hidden="1">
      <extLst>
        <ext xmlns:x15="http://schemas.microsoft.com/office/spreadsheetml/2010/11/main" uri="{B97F6D7D-B522-45F9-BDA1-12C45D357490}">
          <x15:cacheHierarchy aggregatedColumn="8"/>
        </ext>
      </extLst>
    </cacheHierarchy>
    <cacheHierarchy uniqueName="[Measures].[Average of Bounce Rate]" caption="Average of Bounce Rate" measure="1" displayFolder="" measureGroup="Table1" count="0" hidden="1">
      <extLst>
        <ext xmlns:x15="http://schemas.microsoft.com/office/spreadsheetml/2010/11/main" uri="{B97F6D7D-B522-45F9-BDA1-12C45D357490}">
          <x15:cacheHierarchy aggregatedColumn="8"/>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Revenue Per Session]" caption="Sum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Average of Revenue Per Session]" caption="Average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Max of Conversion Rate (%)]" caption="Max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Pageviews]" caption="Sum of Pageviews"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Average of Pageviews]" caption="Average of Pageviews" measure="1" displayFolder="" measureGroup="Table1" count="0" hidden="1">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15"/>
        </ext>
      </extLst>
    </cacheHierarchy>
    <cacheHierarchy uniqueName="[Measures].[Count of Avg. Session Duration]" caption="Count of Avg. Session Duration" measure="1" displayFolder="" measureGroup="Table1" count="0" hidden="1">
      <extLst>
        <ext xmlns:x15="http://schemas.microsoft.com/office/spreadsheetml/2010/11/main" uri="{B97F6D7D-B522-45F9-BDA1-12C45D357490}">
          <x15:cacheHierarchy aggregatedColumn="10"/>
        </ext>
      </extLst>
    </cacheHierarchy>
    <cacheHierarchy uniqueName="[Measures].[Sum of User Retention Rate %]" caption="Sum of User Retention Rate %" measure="1" displayFolder="" measureGroup="Table1" count="0" hidden="1">
      <extLst>
        <ext xmlns:x15="http://schemas.microsoft.com/office/spreadsheetml/2010/11/main" uri="{B97F6D7D-B522-45F9-BDA1-12C45D357490}">
          <x15:cacheHierarchy aggregatedColumn="16"/>
        </ext>
      </extLst>
    </cacheHierarchy>
    <cacheHierarchy uniqueName="[Measures].[Sum of Returning Users]" caption="Sum of Returning Users" measure="1" displayFolder="" measureGroup="Table1" count="0" hidden="1">
      <extLst>
        <ext xmlns:x15="http://schemas.microsoft.com/office/spreadsheetml/2010/11/main" uri="{B97F6D7D-B522-45F9-BDA1-12C45D357490}">
          <x15:cacheHierarchy aggregatedColumn="6"/>
        </ext>
      </extLst>
    </cacheHierarchy>
    <cacheHierarchy uniqueName="[Measures].[Sum of New Users]" caption="Sum of New Users" measure="1" displayFolder="" measureGroup="Table1" count="0" hidden="1">
      <extLst>
        <ext xmlns:x15="http://schemas.microsoft.com/office/spreadsheetml/2010/11/main" uri="{B97F6D7D-B522-45F9-BDA1-12C45D357490}">
          <x15:cacheHierarchy aggregatedColumn="5"/>
        </ext>
      </extLst>
    </cacheHierarchy>
    <cacheHierarchy uniqueName="[Measures].[Sum of Revenue Per User]" caption="Sum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Per User]" caption="Average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Cost Per Conversion %]" caption="Count of Cost Per Conversion %" measure="1" displayFolder="" measureGroup="Table1" count="0" hidden="1">
      <extLst>
        <ext xmlns:x15="http://schemas.microsoft.com/office/spreadsheetml/2010/11/main" uri="{B97F6D7D-B522-45F9-BDA1-12C45D357490}">
          <x15:cacheHierarchy aggregatedColumn="20"/>
        </ext>
      </extLst>
    </cacheHierarchy>
    <cacheHierarchy uniqueName="[Measures].[Sum of Sessions]" caption="Sum of Sessions" measure="1" displayFolder="" measureGroup="Table1" count="0" hidden="1">
      <extLst>
        <ext xmlns:x15="http://schemas.microsoft.com/office/spreadsheetml/2010/11/main" uri="{B97F6D7D-B522-45F9-BDA1-12C45D357490}">
          <x15:cacheHierarchy aggregatedColumn="7"/>
        </ext>
      </extLst>
    </cacheHierarchy>
    <cacheHierarchy uniqueName="[Measures].[Count of Revenue Per Transactions]" caption="Count of Revenue Per Transactions"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esh Kedar" refreshedDate="45978.844680324073" backgroundQuery="1" createdVersion="8" refreshedVersion="8" minRefreshableVersion="3" recordCount="0" supportSubquery="1" supportAdvancedDrill="1" xr:uid="{6F960D30-FC58-4372-8574-309E1B46F7ED}">
  <cacheSource type="external" connectionId="1"/>
  <cacheFields count="3">
    <cacheField name="[Table1].[Year].[Year]" caption="Year" numFmtId="0" hierarchy="1" level="1">
      <sharedItems containsSemiMixedTypes="0" containsString="0" containsNumber="1" containsInteger="1" minValue="2019" maxValue="2020" count="2">
        <n v="2019"/>
        <n v="2020"/>
      </sharedItems>
      <extLst>
        <ext xmlns:x15="http://schemas.microsoft.com/office/spreadsheetml/2010/11/main" uri="{4F2E5C28-24EA-4eb8-9CBF-B6C8F9C3D259}">
          <x15:cachedUniqueNames>
            <x15:cachedUniqueName index="0" name="[Table1].[Year].&amp;[2019]"/>
            <x15:cachedUniqueName index="1" name="[Table1].[Year].&amp;[2020]"/>
          </x15:cachedUniqueNames>
        </ext>
      </extLst>
    </cacheField>
    <cacheField name="[Measures].[Sum of Users]" caption="Sum of Users" numFmtId="0" hierarchy="33" level="32767"/>
    <cacheField name="[Measures].[Sum of Transactions]" caption="Sum of Transactions" numFmtId="0" hierarchy="35" level="32767"/>
  </cacheFields>
  <cacheHierarchies count="61">
    <cacheHierarchy uniqueName="[Table1].[Source / Medium]" caption="Source / Medium" attribute="1" defaultMemberUniqueName="[Table1].[Source / Medium].[All]" allUniqueName="[Table1].[Source / Medium].[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Table1].[Date]" caption="Date" attribute="1" time="1" defaultMemberUniqueName="[Table1].[Date].[All]" allUniqueName="[Table1].[Date].[All]" dimensionUniqueName="[Table1]" displayFolder="" count="2" memberValueDatatype="7" unbalanced="0"/>
    <cacheHierarchy uniqueName="[Table1].[Month of the year]" caption="Month of the year" attribute="1" defaultMemberUniqueName="[Table1].[Month of the year].[All]" allUniqueName="[Table1].[Month of the year].[All]" dimensionUniqueName="[Table1]" displayFolder="" count="0" memberValueDatatype="20" unbalanced="0"/>
    <cacheHierarchy uniqueName="[Table1].[Users]" caption="Users" attribute="1" defaultMemberUniqueName="[Table1].[Users].[All]" allUniqueName="[Table1].[Users].[All]" dimensionUniqueName="[Table1]" displayFolder="" count="0" memberValueDatatype="20" unbalanced="0"/>
    <cacheHierarchy uniqueName="[Table1].[New Users]" caption="New Users" attribute="1" defaultMemberUniqueName="[Table1].[New Users].[All]" allUniqueName="[Table1].[New Users].[All]" dimensionUniqueName="[Table1]" displayFolder="" count="0" memberValueDatatype="20" unbalanced="0"/>
    <cacheHierarchy uniqueName="[Table1].[Returning Users]" caption="Returning Users" attribute="1" defaultMemberUniqueName="[Table1].[Returning Users].[All]" allUniqueName="[Table1].[Returning Users].[All]" dimensionUniqueName="[Table1]" displayFolder="" count="0" memberValueDatatype="20" unbalanced="0"/>
    <cacheHierarchy uniqueName="[Table1].[Sessions]" caption="Sessions" attribute="1" defaultMemberUniqueName="[Table1].[Sessions].[All]" allUniqueName="[Table1].[Sessions].[All]" dimensionUniqueName="[Table1]" displayFolder="" count="0" memberValueDatatype="20" unbalanced="0"/>
    <cacheHierarchy uniqueName="[Table1].[Bounce Rate]" caption="Bounce Rate" attribute="1" defaultMemberUniqueName="[Table1].[Bounce Rate].[All]" allUniqueName="[Table1].[Bounce Rate].[All]" dimensionUniqueName="[Table1]" displayFolder="" count="0" memberValueDatatype="5" unbalanced="0"/>
    <cacheHierarchy uniqueName="[Table1].[Pageviews]" caption="Pageviews" attribute="1" defaultMemberUniqueName="[Table1].[Pageviews].[All]" allUniqueName="[Table1].[Pageviews].[All]" dimensionUniqueName="[Table1]" displayFolder="" count="0" memberValueDatatype="20" unbalanced="0"/>
    <cacheHierarchy uniqueName="[Table1].[Avg. Session Duration]" caption="Avg. Session Duration" attribute="1" time="1" defaultMemberUniqueName="[Table1].[Avg. Session Duration].[All]" allUniqueName="[Table1].[Avg. Session Duration].[All]" dimensionUniqueName="[Table1]" displayFolder="" count="0" memberValueDatatype="7" unbalanced="0"/>
    <cacheHierarchy uniqueName="[Table1].[Avg PageViews/Session]" caption="Avg PageViews/Session" attribute="1" time="1" defaultMemberUniqueName="[Table1].[Avg PageViews/Session].[All]" allUniqueName="[Table1].[Avg PageViews/Session].[All]" dimensionUniqueName="[Table1]" displayFolder="" count="0" memberValueDatatype="7"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Transactions]" caption="Transactions" attribute="1" defaultMemberUniqueName="[Table1].[Transactions].[All]" allUniqueName="[Table1].[Transactions].[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ser Retention Rate %]" caption="User Retention Rate %" attribute="1" defaultMemberUniqueName="[Table1].[User Retention Rate %].[All]" allUniqueName="[Table1].[User Retention Rate %].[All]" dimensionUniqueName="[Table1]" displayFolder="" count="0" memberValueDatatype="5" unbalanced="0"/>
    <cacheHierarchy uniqueName="[Table1].[Revenue Per User]" caption="Revenue Per User" attribute="1" defaultMemberUniqueName="[Table1].[Revenue Per User].[All]" allUniqueName="[Table1].[Revenue Per User].[All]" dimensionUniqueName="[Table1]" displayFolder="" count="0" memberValueDatatype="5" unbalanced="0"/>
    <cacheHierarchy uniqueName="[Table1].[Revenue Per Session]" caption="Revenue Per Session" attribute="1" defaultMemberUniqueName="[Table1].[Revenue Per Session].[All]" allUniqueName="[Table1].[Revenue Per Session].[All]" dimensionUniqueName="[Table1]" displayFolder="" count="0" memberValueDatatype="5" unbalanced="0"/>
    <cacheHierarchy uniqueName="[Table1].[Revenue Per Transactions]" caption="Revenue Per Transactions" attribute="1" defaultMemberUniqueName="[Table1].[Revenue Per Transactions].[All]" allUniqueName="[Table1].[Revenue Per Transactions].[All]" dimensionUniqueName="[Table1]" displayFolder="" count="0" memberValueDatatype="130" unbalanced="0"/>
    <cacheHierarchy uniqueName="[Table1].[Cost Per Conversion %]" caption="Cost Per Conversion %" attribute="1" defaultMemberUniqueName="[Table1].[Cost Per Conversion %].[All]" allUniqueName="[Table1].[Cost Per Conversion %].[All]" dimensionUniqueName="[Table1]" displayFolder="" count="0" memberValueDatatype="130" unbalanced="0"/>
    <cacheHierarchy uniqueName="[Table1].[Average Conversion Rate in 2020]" caption="Average Conversion Rate in 2020" attribute="1" defaultMemberUniqueName="[Table1].[Average Conversion Rate in 2020].[All]" allUniqueName="[Table1].[Average Conversion Rate in 2020].[All]" dimensionUniqueName="[Table1]" displayFolder="" count="0" memberValueDatatype="5" unbalanced="0"/>
    <cacheHierarchy uniqueName="[Table1].[Average Conversion rate 2019]" caption="Average Conversion rate 2019" attribute="1" defaultMemberUniqueName="[Table1].[Average Conversion rate 2019].[All]" allUniqueName="[Table1].[Average Conversion rate 2019].[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4].[Average Conversion Rate in 2020]" caption="Average Conversion Rate in 2020" attribute="1" defaultMemberUniqueName="[Table4].[Average Conversion Rate in 2020].[All]" allUniqueName="[Table4].[Average Conversion Rate in 2020].[All]" dimensionUniqueName="[Table4]" displayFolder="" count="0" memberValueDatatype="5" unbalanced="0"/>
    <cacheHierarchy uniqueName="[Table4].[Average Conversion rate 2019]" caption="Average Conversion rate 2019" attribute="1" defaultMemberUniqueName="[Table4].[Average Conversion rate 2019].[All]" allUniqueName="[Table4].[Average Conversion rate 2019].[All]" dimensionUniqueName="[Table4]"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1"/>
        </ext>
      </extLst>
    </cacheHierarchy>
    <cacheHierarchy uniqueName="[Measures].[Sum of Users]" caption="Sum of Users"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Users]" caption="Average of Users" measure="1" displayFolder="" measureGroup="Table1" count="0" hidden="1">
      <extLst>
        <ext xmlns:x15="http://schemas.microsoft.com/office/spreadsheetml/2010/11/main" uri="{B97F6D7D-B522-45F9-BDA1-12C45D357490}">
          <x15:cacheHierarchy aggregatedColumn="4"/>
        </ext>
      </extLst>
    </cacheHierarchy>
    <cacheHierarchy uniqueName="[Measures].[Sum of Transactions]" caption="Sum of Transactions" measure="1" displayFolder="" measureGroup="Table1"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Average Conversion Rate in 2020]" caption="Sum of Average Conversion Rate in 2020" measure="1" displayFolder="" measureGroup="Table4" count="0" hidden="1">
      <extLst>
        <ext xmlns:x15="http://schemas.microsoft.com/office/spreadsheetml/2010/11/main" uri="{B97F6D7D-B522-45F9-BDA1-12C45D357490}">
          <x15:cacheHierarchy aggregatedColumn="26"/>
        </ext>
      </extLst>
    </cacheHierarchy>
    <cacheHierarchy uniqueName="[Measures].[Sum of Average Conversion rate 2019]" caption="Sum of Average Conversion rate 2019" measure="1" displayFolder="" measureGroup="Table4" count="0" hidden="1">
      <extLst>
        <ext xmlns:x15="http://schemas.microsoft.com/office/spreadsheetml/2010/11/main" uri="{B97F6D7D-B522-45F9-BDA1-12C45D357490}">
          <x15:cacheHierarchy aggregatedColumn="27"/>
        </ext>
      </extLst>
    </cacheHierarchy>
    <cacheHierarchy uniqueName="[Measures].[Sum of Average Conversion Rate in 2020 2]" caption="Sum of Average Conversion Rate in 2020 2" measure="1" displayFolder="" measureGroup="Table1" count="0" hidden="1">
      <extLst>
        <ext xmlns:x15="http://schemas.microsoft.com/office/spreadsheetml/2010/11/main" uri="{B97F6D7D-B522-45F9-BDA1-12C45D357490}">
          <x15:cacheHierarchy aggregatedColumn="21"/>
        </ext>
      </extLst>
    </cacheHierarchy>
    <cacheHierarchy uniqueName="[Measures].[Sum of Average Conversion rate 2019 2]" caption="Sum of Average Conversion rate 2019 2" measure="1" displayFolder="" measureGroup="Table1"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Bounce Rate]" caption="Sum of Bounce Rate" measure="1" displayFolder="" measureGroup="Table1" count="0" hidden="1">
      <extLst>
        <ext xmlns:x15="http://schemas.microsoft.com/office/spreadsheetml/2010/11/main" uri="{B97F6D7D-B522-45F9-BDA1-12C45D357490}">
          <x15:cacheHierarchy aggregatedColumn="8"/>
        </ext>
      </extLst>
    </cacheHierarchy>
    <cacheHierarchy uniqueName="[Measures].[Average of Bounce Rate]" caption="Average of Bounce Rate" measure="1" displayFolder="" measureGroup="Table1" count="0" hidden="1">
      <extLst>
        <ext xmlns:x15="http://schemas.microsoft.com/office/spreadsheetml/2010/11/main" uri="{B97F6D7D-B522-45F9-BDA1-12C45D357490}">
          <x15:cacheHierarchy aggregatedColumn="8"/>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Revenue Per Session]" caption="Sum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Average of Revenue Per Session]" caption="Average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Max of Conversion Rate (%)]" caption="Max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Pageviews]" caption="Sum of Pageviews" measure="1" displayFolder="" measureGroup="Table1" count="0" hidden="1">
      <extLst>
        <ext xmlns:x15="http://schemas.microsoft.com/office/spreadsheetml/2010/11/main" uri="{B97F6D7D-B522-45F9-BDA1-12C45D357490}">
          <x15:cacheHierarchy aggregatedColumn="9"/>
        </ext>
      </extLst>
    </cacheHierarchy>
    <cacheHierarchy uniqueName="[Measures].[Average of Pageviews]" caption="Average of Pageviews" measure="1" displayFolder="" measureGroup="Table1" count="0" hidden="1">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15"/>
        </ext>
      </extLst>
    </cacheHierarchy>
    <cacheHierarchy uniqueName="[Measures].[Count of Avg. Session Duration]" caption="Count of Avg. Session Duration" measure="1" displayFolder="" measureGroup="Table1" count="0" hidden="1">
      <extLst>
        <ext xmlns:x15="http://schemas.microsoft.com/office/spreadsheetml/2010/11/main" uri="{B97F6D7D-B522-45F9-BDA1-12C45D357490}">
          <x15:cacheHierarchy aggregatedColumn="10"/>
        </ext>
      </extLst>
    </cacheHierarchy>
    <cacheHierarchy uniqueName="[Measures].[Sum of User Retention Rate %]" caption="Sum of User Retention Rate %" measure="1" displayFolder="" measureGroup="Table1" count="0" hidden="1">
      <extLst>
        <ext xmlns:x15="http://schemas.microsoft.com/office/spreadsheetml/2010/11/main" uri="{B97F6D7D-B522-45F9-BDA1-12C45D357490}">
          <x15:cacheHierarchy aggregatedColumn="16"/>
        </ext>
      </extLst>
    </cacheHierarchy>
    <cacheHierarchy uniqueName="[Measures].[Sum of Returning Users]" caption="Sum of Returning Users" measure="1" displayFolder="" measureGroup="Table1" count="0" hidden="1">
      <extLst>
        <ext xmlns:x15="http://schemas.microsoft.com/office/spreadsheetml/2010/11/main" uri="{B97F6D7D-B522-45F9-BDA1-12C45D357490}">
          <x15:cacheHierarchy aggregatedColumn="6"/>
        </ext>
      </extLst>
    </cacheHierarchy>
    <cacheHierarchy uniqueName="[Measures].[Sum of New Users]" caption="Sum of New Users" measure="1" displayFolder="" measureGroup="Table1" count="0" hidden="1">
      <extLst>
        <ext xmlns:x15="http://schemas.microsoft.com/office/spreadsheetml/2010/11/main" uri="{B97F6D7D-B522-45F9-BDA1-12C45D357490}">
          <x15:cacheHierarchy aggregatedColumn="5"/>
        </ext>
      </extLst>
    </cacheHierarchy>
    <cacheHierarchy uniqueName="[Measures].[Sum of Revenue Per User]" caption="Sum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Per User]" caption="Average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Cost Per Conversion %]" caption="Count of Cost Per Conversion %" measure="1" displayFolder="" measureGroup="Table1" count="0" hidden="1">
      <extLst>
        <ext xmlns:x15="http://schemas.microsoft.com/office/spreadsheetml/2010/11/main" uri="{B97F6D7D-B522-45F9-BDA1-12C45D357490}">
          <x15:cacheHierarchy aggregatedColumn="20"/>
        </ext>
      </extLst>
    </cacheHierarchy>
    <cacheHierarchy uniqueName="[Measures].[Sum of Sessions]" caption="Sum of Sessions" measure="1" displayFolder="" measureGroup="Table1" count="0" hidden="1">
      <extLst>
        <ext xmlns:x15="http://schemas.microsoft.com/office/spreadsheetml/2010/11/main" uri="{B97F6D7D-B522-45F9-BDA1-12C45D357490}">
          <x15:cacheHierarchy aggregatedColumn="7"/>
        </ext>
      </extLst>
    </cacheHierarchy>
    <cacheHierarchy uniqueName="[Measures].[Count of Revenue Per Transactions]" caption="Count of Revenue Per Transactions"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esh Kedar" refreshedDate="45978.844680902781" backgroundQuery="1" createdVersion="8" refreshedVersion="8" minRefreshableVersion="3" recordCount="0" supportSubquery="1" supportAdvancedDrill="1" xr:uid="{EAA032EE-07C1-432D-A950-4DA1B89D5485}">
  <cacheSource type="external" connectionId="1"/>
  <cacheFields count="3">
    <cacheField name="[Table1].[Year].[Year]" caption="Year" numFmtId="0" hierarchy="1" level="1">
      <sharedItems containsSemiMixedTypes="0" containsString="0" containsNumber="1" containsInteger="1" minValue="2019" maxValue="2020" count="2">
        <n v="2019"/>
        <n v="2020"/>
      </sharedItems>
      <extLst>
        <ext xmlns:x15="http://schemas.microsoft.com/office/spreadsheetml/2010/11/main" uri="{4F2E5C28-24EA-4eb8-9CBF-B6C8F9C3D259}">
          <x15:cachedUniqueNames>
            <x15:cachedUniqueName index="0" name="[Table1].[Year].&amp;[2019]"/>
            <x15:cachedUniqueName index="1" name="[Table1].[Year].&amp;[2020]"/>
          </x15:cachedUniqueNames>
        </ext>
      </extLst>
    </cacheField>
    <cacheField name="[Table1].[Date (Month)].[Date (Month)]" caption="Date (Month)" numFmtId="0" hierarchy="25" level="1">
      <sharedItems count="12">
        <s v="Sep"/>
        <s v="Oct"/>
        <s v="Nov"/>
        <s v="Dec"/>
        <s v="Jan"/>
        <s v="Feb"/>
        <s v="Mar"/>
        <s v="Apr"/>
        <s v="May"/>
        <s v="Jun"/>
        <s v="Jul"/>
        <s v="Aug"/>
      </sharedItems>
    </cacheField>
    <cacheField name="[Measures].[Sum of Revenue]" caption="Sum of Revenue" numFmtId="0" hierarchy="40" level="32767"/>
  </cacheFields>
  <cacheHierarchies count="61">
    <cacheHierarchy uniqueName="[Table1].[Source / Medium]" caption="Source / Medium" attribute="1" defaultMemberUniqueName="[Table1].[Source / Medium].[All]" allUniqueName="[Table1].[Source / Medium].[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Table1].[Date]" caption="Date" attribute="1" time="1" defaultMemberUniqueName="[Table1].[Date].[All]" allUniqueName="[Table1].[Date].[All]" dimensionUniqueName="[Table1]" displayFolder="" count="2" memberValueDatatype="7" unbalanced="0"/>
    <cacheHierarchy uniqueName="[Table1].[Month of the year]" caption="Month of the year" attribute="1" defaultMemberUniqueName="[Table1].[Month of the year].[All]" allUniqueName="[Table1].[Month of the year].[All]" dimensionUniqueName="[Table1]" displayFolder="" count="0" memberValueDatatype="20" unbalanced="0"/>
    <cacheHierarchy uniqueName="[Table1].[Users]" caption="Users" attribute="1" defaultMemberUniqueName="[Table1].[Users].[All]" allUniqueName="[Table1].[Users].[All]" dimensionUniqueName="[Table1]" displayFolder="" count="0" memberValueDatatype="20" unbalanced="0"/>
    <cacheHierarchy uniqueName="[Table1].[New Users]" caption="New Users" attribute="1" defaultMemberUniqueName="[Table1].[New Users].[All]" allUniqueName="[Table1].[New Users].[All]" dimensionUniqueName="[Table1]" displayFolder="" count="0" memberValueDatatype="20" unbalanced="0"/>
    <cacheHierarchy uniqueName="[Table1].[Returning Users]" caption="Returning Users" attribute="1" defaultMemberUniqueName="[Table1].[Returning Users].[All]" allUniqueName="[Table1].[Returning Users].[All]" dimensionUniqueName="[Table1]" displayFolder="" count="0" memberValueDatatype="20" unbalanced="0"/>
    <cacheHierarchy uniqueName="[Table1].[Sessions]" caption="Sessions" attribute="1" defaultMemberUniqueName="[Table1].[Sessions].[All]" allUniqueName="[Table1].[Sessions].[All]" dimensionUniqueName="[Table1]" displayFolder="" count="0" memberValueDatatype="20" unbalanced="0"/>
    <cacheHierarchy uniqueName="[Table1].[Bounce Rate]" caption="Bounce Rate" attribute="1" defaultMemberUniqueName="[Table1].[Bounce Rate].[All]" allUniqueName="[Table1].[Bounce Rate].[All]" dimensionUniqueName="[Table1]" displayFolder="" count="0" memberValueDatatype="5" unbalanced="0"/>
    <cacheHierarchy uniqueName="[Table1].[Pageviews]" caption="Pageviews" attribute="1" defaultMemberUniqueName="[Table1].[Pageviews].[All]" allUniqueName="[Table1].[Pageviews].[All]" dimensionUniqueName="[Table1]" displayFolder="" count="0" memberValueDatatype="20" unbalanced="0"/>
    <cacheHierarchy uniqueName="[Table1].[Avg. Session Duration]" caption="Avg. Session Duration" attribute="1" time="1" defaultMemberUniqueName="[Table1].[Avg. Session Duration].[All]" allUniqueName="[Table1].[Avg. Session Duration].[All]" dimensionUniqueName="[Table1]" displayFolder="" count="0" memberValueDatatype="7" unbalanced="0"/>
    <cacheHierarchy uniqueName="[Table1].[Avg PageViews/Session]" caption="Avg PageViews/Session" attribute="1" time="1" defaultMemberUniqueName="[Table1].[Avg PageViews/Session].[All]" allUniqueName="[Table1].[Avg PageViews/Session].[All]" dimensionUniqueName="[Table1]" displayFolder="" count="0" memberValueDatatype="7"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Transactions]" caption="Transactions" attribute="1" defaultMemberUniqueName="[Table1].[Transactions].[All]" allUniqueName="[Table1].[Transactions].[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ser Retention Rate %]" caption="User Retention Rate %" attribute="1" defaultMemberUniqueName="[Table1].[User Retention Rate %].[All]" allUniqueName="[Table1].[User Retention Rate %].[All]" dimensionUniqueName="[Table1]" displayFolder="" count="0" memberValueDatatype="5" unbalanced="0"/>
    <cacheHierarchy uniqueName="[Table1].[Revenue Per User]" caption="Revenue Per User" attribute="1" defaultMemberUniqueName="[Table1].[Revenue Per User].[All]" allUniqueName="[Table1].[Revenue Per User].[All]" dimensionUniqueName="[Table1]" displayFolder="" count="0" memberValueDatatype="5" unbalanced="0"/>
    <cacheHierarchy uniqueName="[Table1].[Revenue Per Session]" caption="Revenue Per Session" attribute="1" defaultMemberUniqueName="[Table1].[Revenue Per Session].[All]" allUniqueName="[Table1].[Revenue Per Session].[All]" dimensionUniqueName="[Table1]" displayFolder="" count="0" memberValueDatatype="5" unbalanced="0"/>
    <cacheHierarchy uniqueName="[Table1].[Revenue Per Transactions]" caption="Revenue Per Transactions" attribute="1" defaultMemberUniqueName="[Table1].[Revenue Per Transactions].[All]" allUniqueName="[Table1].[Revenue Per Transactions].[All]" dimensionUniqueName="[Table1]" displayFolder="" count="0" memberValueDatatype="130" unbalanced="0"/>
    <cacheHierarchy uniqueName="[Table1].[Cost Per Conversion %]" caption="Cost Per Conversion %" attribute="1" defaultMemberUniqueName="[Table1].[Cost Per Conversion %].[All]" allUniqueName="[Table1].[Cost Per Conversion %].[All]" dimensionUniqueName="[Table1]" displayFolder="" count="0" memberValueDatatype="130" unbalanced="0"/>
    <cacheHierarchy uniqueName="[Table1].[Average Conversion Rate in 2020]" caption="Average Conversion Rate in 2020" attribute="1" defaultMemberUniqueName="[Table1].[Average Conversion Rate in 2020].[All]" allUniqueName="[Table1].[Average Conversion Rate in 2020].[All]" dimensionUniqueName="[Table1]" displayFolder="" count="0" memberValueDatatype="5" unbalanced="0"/>
    <cacheHierarchy uniqueName="[Table1].[Average Conversion rate 2019]" caption="Average Conversion rate 2019" attribute="1" defaultMemberUniqueName="[Table1].[Average Conversion rate 2019].[All]" allUniqueName="[Table1].[Average Conversion rate 2019].[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1"/>
      </fieldsUsage>
    </cacheHierarchy>
    <cacheHierarchy uniqueName="[Table4].[Average Conversion Rate in 2020]" caption="Average Conversion Rate in 2020" attribute="1" defaultMemberUniqueName="[Table4].[Average Conversion Rate in 2020].[All]" allUniqueName="[Table4].[Average Conversion Rate in 2020].[All]" dimensionUniqueName="[Table4]" displayFolder="" count="0" memberValueDatatype="5" unbalanced="0"/>
    <cacheHierarchy uniqueName="[Table4].[Average Conversion rate 2019]" caption="Average Conversion rate 2019" attribute="1" defaultMemberUniqueName="[Table4].[Average Conversion rate 2019].[All]" allUniqueName="[Table4].[Average Conversion rate 2019].[All]" dimensionUniqueName="[Table4]"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1"/>
        </ext>
      </extLst>
    </cacheHierarchy>
    <cacheHierarchy uniqueName="[Measures].[Sum of Users]" caption="Sum of Users" measure="1" displayFolder="" measureGroup="Table1" count="0" hidden="1">
      <extLst>
        <ext xmlns:x15="http://schemas.microsoft.com/office/spreadsheetml/2010/11/main" uri="{B97F6D7D-B522-45F9-BDA1-12C45D357490}">
          <x15:cacheHierarchy aggregatedColumn="4"/>
        </ext>
      </extLst>
    </cacheHierarchy>
    <cacheHierarchy uniqueName="[Measures].[Average of Users]" caption="Average of Users" measure="1" displayFolder="" measureGroup="Table1" count="0" hidden="1">
      <extLst>
        <ext xmlns:x15="http://schemas.microsoft.com/office/spreadsheetml/2010/11/main" uri="{B97F6D7D-B522-45F9-BDA1-12C45D357490}">
          <x15:cacheHierarchy aggregatedColumn="4"/>
        </ext>
      </extLst>
    </cacheHierarchy>
    <cacheHierarchy uniqueName="[Measures].[Sum of Transactions]" caption="Sum of Transactions" measure="1" displayFolder="" measureGroup="Table1" count="0" hidden="1">
      <extLst>
        <ext xmlns:x15="http://schemas.microsoft.com/office/spreadsheetml/2010/11/main" uri="{B97F6D7D-B522-45F9-BDA1-12C45D357490}">
          <x15:cacheHierarchy aggregatedColumn="13"/>
        </ext>
      </extLst>
    </cacheHierarchy>
    <cacheHierarchy uniqueName="[Measures].[Sum of Average Conversion Rate in 2020]" caption="Sum of Average Conversion Rate in 2020" measure="1" displayFolder="" measureGroup="Table4" count="0" hidden="1">
      <extLst>
        <ext xmlns:x15="http://schemas.microsoft.com/office/spreadsheetml/2010/11/main" uri="{B97F6D7D-B522-45F9-BDA1-12C45D357490}">
          <x15:cacheHierarchy aggregatedColumn="26"/>
        </ext>
      </extLst>
    </cacheHierarchy>
    <cacheHierarchy uniqueName="[Measures].[Sum of Average Conversion rate 2019]" caption="Sum of Average Conversion rate 2019" measure="1" displayFolder="" measureGroup="Table4" count="0" hidden="1">
      <extLst>
        <ext xmlns:x15="http://schemas.microsoft.com/office/spreadsheetml/2010/11/main" uri="{B97F6D7D-B522-45F9-BDA1-12C45D357490}">
          <x15:cacheHierarchy aggregatedColumn="27"/>
        </ext>
      </extLst>
    </cacheHierarchy>
    <cacheHierarchy uniqueName="[Measures].[Sum of Average Conversion Rate in 2020 2]" caption="Sum of Average Conversion Rate in 2020 2" measure="1" displayFolder="" measureGroup="Table1" count="0" hidden="1">
      <extLst>
        <ext xmlns:x15="http://schemas.microsoft.com/office/spreadsheetml/2010/11/main" uri="{B97F6D7D-B522-45F9-BDA1-12C45D357490}">
          <x15:cacheHierarchy aggregatedColumn="21"/>
        </ext>
      </extLst>
    </cacheHierarchy>
    <cacheHierarchy uniqueName="[Measures].[Sum of Average Conversion rate 2019 2]" caption="Sum of Average Conversion rate 2019 2" measure="1" displayFolder="" measureGroup="Table1"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Table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Bounce Rate]" caption="Sum of Bounce Rate" measure="1" displayFolder="" measureGroup="Table1" count="0" hidden="1">
      <extLst>
        <ext xmlns:x15="http://schemas.microsoft.com/office/spreadsheetml/2010/11/main" uri="{B97F6D7D-B522-45F9-BDA1-12C45D357490}">
          <x15:cacheHierarchy aggregatedColumn="8"/>
        </ext>
      </extLst>
    </cacheHierarchy>
    <cacheHierarchy uniqueName="[Measures].[Average of Bounce Rate]" caption="Average of Bounce Rate" measure="1" displayFolder="" measureGroup="Table1" count="0" hidden="1">
      <extLst>
        <ext xmlns:x15="http://schemas.microsoft.com/office/spreadsheetml/2010/11/main" uri="{B97F6D7D-B522-45F9-BDA1-12C45D357490}">
          <x15:cacheHierarchy aggregatedColumn="8"/>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Revenue Per Session]" caption="Sum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Average of Revenue Per Session]" caption="Average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Max of Conversion Rate (%)]" caption="Max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Pageviews]" caption="Sum of Pageviews" measure="1" displayFolder="" measureGroup="Table1" count="0" hidden="1">
      <extLst>
        <ext xmlns:x15="http://schemas.microsoft.com/office/spreadsheetml/2010/11/main" uri="{B97F6D7D-B522-45F9-BDA1-12C45D357490}">
          <x15:cacheHierarchy aggregatedColumn="9"/>
        </ext>
      </extLst>
    </cacheHierarchy>
    <cacheHierarchy uniqueName="[Measures].[Average of Pageviews]" caption="Average of Pageviews" measure="1" displayFolder="" measureGroup="Table1" count="0" hidden="1">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15"/>
        </ext>
      </extLst>
    </cacheHierarchy>
    <cacheHierarchy uniqueName="[Measures].[Count of Avg. Session Duration]" caption="Count of Avg. Session Duration" measure="1" displayFolder="" measureGroup="Table1" count="0" hidden="1">
      <extLst>
        <ext xmlns:x15="http://schemas.microsoft.com/office/spreadsheetml/2010/11/main" uri="{B97F6D7D-B522-45F9-BDA1-12C45D357490}">
          <x15:cacheHierarchy aggregatedColumn="10"/>
        </ext>
      </extLst>
    </cacheHierarchy>
    <cacheHierarchy uniqueName="[Measures].[Sum of User Retention Rate %]" caption="Sum of User Retention Rate %" measure="1" displayFolder="" measureGroup="Table1" count="0" hidden="1">
      <extLst>
        <ext xmlns:x15="http://schemas.microsoft.com/office/spreadsheetml/2010/11/main" uri="{B97F6D7D-B522-45F9-BDA1-12C45D357490}">
          <x15:cacheHierarchy aggregatedColumn="16"/>
        </ext>
      </extLst>
    </cacheHierarchy>
    <cacheHierarchy uniqueName="[Measures].[Sum of Returning Users]" caption="Sum of Returning Users" measure="1" displayFolder="" measureGroup="Table1" count="0" hidden="1">
      <extLst>
        <ext xmlns:x15="http://schemas.microsoft.com/office/spreadsheetml/2010/11/main" uri="{B97F6D7D-B522-45F9-BDA1-12C45D357490}">
          <x15:cacheHierarchy aggregatedColumn="6"/>
        </ext>
      </extLst>
    </cacheHierarchy>
    <cacheHierarchy uniqueName="[Measures].[Sum of New Users]" caption="Sum of New Users" measure="1" displayFolder="" measureGroup="Table1" count="0" hidden="1">
      <extLst>
        <ext xmlns:x15="http://schemas.microsoft.com/office/spreadsheetml/2010/11/main" uri="{B97F6D7D-B522-45F9-BDA1-12C45D357490}">
          <x15:cacheHierarchy aggregatedColumn="5"/>
        </ext>
      </extLst>
    </cacheHierarchy>
    <cacheHierarchy uniqueName="[Measures].[Sum of Revenue Per User]" caption="Sum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Per User]" caption="Average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Cost Per Conversion %]" caption="Count of Cost Per Conversion %" measure="1" displayFolder="" measureGroup="Table1" count="0" hidden="1">
      <extLst>
        <ext xmlns:x15="http://schemas.microsoft.com/office/spreadsheetml/2010/11/main" uri="{B97F6D7D-B522-45F9-BDA1-12C45D357490}">
          <x15:cacheHierarchy aggregatedColumn="20"/>
        </ext>
      </extLst>
    </cacheHierarchy>
    <cacheHierarchy uniqueName="[Measures].[Sum of Sessions]" caption="Sum of Sessions" measure="1" displayFolder="" measureGroup="Table1" count="0" hidden="1">
      <extLst>
        <ext xmlns:x15="http://schemas.microsoft.com/office/spreadsheetml/2010/11/main" uri="{B97F6D7D-B522-45F9-BDA1-12C45D357490}">
          <x15:cacheHierarchy aggregatedColumn="7"/>
        </ext>
      </extLst>
    </cacheHierarchy>
    <cacheHierarchy uniqueName="[Measures].[Count of Revenue Per Transactions]" caption="Count of Revenue Per Transactions"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esh Kedar" refreshedDate="45978.844681249997" backgroundQuery="1" createdVersion="8" refreshedVersion="8" minRefreshableVersion="3" recordCount="0" supportSubquery="1" supportAdvancedDrill="1" xr:uid="{AC0E6BCB-058B-49CD-BCCC-561C0CDCA6AE}">
  <cacheSource type="external" connectionId="1"/>
  <cacheFields count="6">
    <cacheField name="[Table1].[Source / Medium].[Source / Medium]" caption="Source / Medium" numFmtId="0" level="1">
      <sharedItems count="23">
        <s v="A"/>
        <s v="B"/>
        <s v="C"/>
        <s v="D"/>
        <s v="E"/>
        <s v="F"/>
        <s v="G"/>
        <s v="H"/>
        <s v="I"/>
        <s v="J"/>
        <s v="K"/>
        <s v="L"/>
        <s v="M"/>
        <s v="N"/>
        <s v="O"/>
        <s v="P"/>
        <s v="R"/>
        <s v="S"/>
        <s v="T"/>
        <s v="U"/>
        <s v="V"/>
        <s v="Y"/>
        <s v="Z"/>
      </sharedItems>
    </cacheField>
    <cacheField name="[Measures].[Average of Bounce Rate]" caption="Average of Bounce Rate" numFmtId="0" hierarchy="42" level="32767"/>
    <cacheField name="[Table1].[Conversion Rate (%)].[Conversion Rate (%)]" caption="Conversion Rate (%)" numFmtId="0" hierarchy="12" level="1">
      <sharedItems containsSemiMixedTypes="0" containsNonDate="0" containsString="0"/>
    </cacheField>
    <cacheField name="[Measures].[Average of Conversion Rate (%)]" caption="Average of Conversion Rate (%)" numFmtId="0" hierarchy="44" level="32767"/>
    <cacheField name="[Measures].[Average of Revenue Per Session]" caption="Average of Revenue Per Session" numFmtId="0" hierarchy="46" level="32767"/>
    <cacheField name="[Table1].[Date (Month)].[Date (Month)]" caption="Date (Month)" numFmtId="0" hierarchy="25" level="1">
      <sharedItems count="12">
        <s v="Jan"/>
        <s v="Feb"/>
        <s v="Mar"/>
        <s v="Apr"/>
        <s v="May"/>
        <s v="Jun"/>
        <s v="Jul"/>
        <s v="Aug"/>
        <s v="Sep"/>
        <s v="Oct"/>
        <s v="Nov"/>
        <s v="Dec"/>
      </sharedItems>
    </cacheField>
  </cacheFields>
  <cacheHierarchies count="61">
    <cacheHierarchy uniqueName="[Table1].[Source / Medium]" caption="Source / Medium" attribute="1" defaultMemberUniqueName="[Table1].[Source / Medium].[All]" allUniqueName="[Table1].[Source / Medium].[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0" memberValueDatatype="20" unbalanced="0"/>
    <cacheHierarchy uniqueName="[Table1].[Date]" caption="Date" attribute="1" time="1" defaultMemberUniqueName="[Table1].[Date].[All]" allUniqueName="[Table1].[Date].[All]" dimensionUniqueName="[Table1]" displayFolder="" count="2" memberValueDatatype="7" unbalanced="0"/>
    <cacheHierarchy uniqueName="[Table1].[Month of the year]" caption="Month of the year" attribute="1" defaultMemberUniqueName="[Table1].[Month of the year].[All]" allUniqueName="[Table1].[Month of the year].[All]" dimensionUniqueName="[Table1]" displayFolder="" count="0" memberValueDatatype="20" unbalanced="0"/>
    <cacheHierarchy uniqueName="[Table1].[Users]" caption="Users" attribute="1" defaultMemberUniqueName="[Table1].[Users].[All]" allUniqueName="[Table1].[Users].[All]" dimensionUniqueName="[Table1]" displayFolder="" count="0" memberValueDatatype="20" unbalanced="0"/>
    <cacheHierarchy uniqueName="[Table1].[New Users]" caption="New Users" attribute="1" defaultMemberUniqueName="[Table1].[New Users].[All]" allUniqueName="[Table1].[New Users].[All]" dimensionUniqueName="[Table1]" displayFolder="" count="0" memberValueDatatype="20" unbalanced="0"/>
    <cacheHierarchy uniqueName="[Table1].[Returning Users]" caption="Returning Users" attribute="1" defaultMemberUniqueName="[Table1].[Returning Users].[All]" allUniqueName="[Table1].[Returning Users].[All]" dimensionUniqueName="[Table1]" displayFolder="" count="0" memberValueDatatype="20" unbalanced="0"/>
    <cacheHierarchy uniqueName="[Table1].[Sessions]" caption="Sessions" attribute="1" defaultMemberUniqueName="[Table1].[Sessions].[All]" allUniqueName="[Table1].[Sessions].[All]" dimensionUniqueName="[Table1]" displayFolder="" count="0" memberValueDatatype="20" unbalanced="0"/>
    <cacheHierarchy uniqueName="[Table1].[Bounce Rate]" caption="Bounce Rate" attribute="1" defaultMemberUniqueName="[Table1].[Bounce Rate].[All]" allUniqueName="[Table1].[Bounce Rate].[All]" dimensionUniqueName="[Table1]" displayFolder="" count="0" memberValueDatatype="5" unbalanced="0"/>
    <cacheHierarchy uniqueName="[Table1].[Pageviews]" caption="Pageviews" attribute="1" defaultMemberUniqueName="[Table1].[Pageviews].[All]" allUniqueName="[Table1].[Pageviews].[All]" dimensionUniqueName="[Table1]" displayFolder="" count="0" memberValueDatatype="20" unbalanced="0"/>
    <cacheHierarchy uniqueName="[Table1].[Avg. Session Duration]" caption="Avg. Session Duration" attribute="1" time="1" defaultMemberUniqueName="[Table1].[Avg. Session Duration].[All]" allUniqueName="[Table1].[Avg. Session Duration].[All]" dimensionUniqueName="[Table1]" displayFolder="" count="0" memberValueDatatype="7" unbalanced="0"/>
    <cacheHierarchy uniqueName="[Table1].[Avg PageViews/Session]" caption="Avg PageViews/Session" attribute="1" time="1" defaultMemberUniqueName="[Table1].[Avg PageViews/Session].[All]" allUniqueName="[Table1].[Avg PageViews/Session].[All]" dimensionUniqueName="[Table1]" displayFolder="" count="0" memberValueDatatype="7" unbalanced="0"/>
    <cacheHierarchy uniqueName="[Table1].[Conversion Rate (%)]" caption="Conversion Rate (%)" attribute="1" defaultMemberUniqueName="[Table1].[Conversion Rate (%)].[All]" allUniqueName="[Table1].[Conversion Rate (%)].[All]" dimensionUniqueName="[Table1]" displayFolder="" count="2" memberValueDatatype="5" unbalanced="0">
      <fieldsUsage count="2">
        <fieldUsage x="-1"/>
        <fieldUsage x="2"/>
      </fieldsUsage>
    </cacheHierarchy>
    <cacheHierarchy uniqueName="[Table1].[Transactions]" caption="Transactions" attribute="1" defaultMemberUniqueName="[Table1].[Transactions].[All]" allUniqueName="[Table1].[Transactions].[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ser Retention Rate %]" caption="User Retention Rate %" attribute="1" defaultMemberUniqueName="[Table1].[User Retention Rate %].[All]" allUniqueName="[Table1].[User Retention Rate %].[All]" dimensionUniqueName="[Table1]" displayFolder="" count="0" memberValueDatatype="5" unbalanced="0"/>
    <cacheHierarchy uniqueName="[Table1].[Revenue Per User]" caption="Revenue Per User" attribute="1" defaultMemberUniqueName="[Table1].[Revenue Per User].[All]" allUniqueName="[Table1].[Revenue Per User].[All]" dimensionUniqueName="[Table1]" displayFolder="" count="0" memberValueDatatype="5" unbalanced="0"/>
    <cacheHierarchy uniqueName="[Table1].[Revenue Per Session]" caption="Revenue Per Session" attribute="1" defaultMemberUniqueName="[Table1].[Revenue Per Session].[All]" allUniqueName="[Table1].[Revenue Per Session].[All]" dimensionUniqueName="[Table1]" displayFolder="" count="0" memberValueDatatype="5" unbalanced="0"/>
    <cacheHierarchy uniqueName="[Table1].[Revenue Per Transactions]" caption="Revenue Per Transactions" attribute="1" defaultMemberUniqueName="[Table1].[Revenue Per Transactions].[All]" allUniqueName="[Table1].[Revenue Per Transactions].[All]" dimensionUniqueName="[Table1]" displayFolder="" count="0" memberValueDatatype="130" unbalanced="0"/>
    <cacheHierarchy uniqueName="[Table1].[Cost Per Conversion %]" caption="Cost Per Conversion %" attribute="1" defaultMemberUniqueName="[Table1].[Cost Per Conversion %].[All]" allUniqueName="[Table1].[Cost Per Conversion %].[All]" dimensionUniqueName="[Table1]" displayFolder="" count="0" memberValueDatatype="130" unbalanced="0"/>
    <cacheHierarchy uniqueName="[Table1].[Average Conversion Rate in 2020]" caption="Average Conversion Rate in 2020" attribute="1" defaultMemberUniqueName="[Table1].[Average Conversion Rate in 2020].[All]" allUniqueName="[Table1].[Average Conversion Rate in 2020].[All]" dimensionUniqueName="[Table1]" displayFolder="" count="0" memberValueDatatype="5" unbalanced="0"/>
    <cacheHierarchy uniqueName="[Table1].[Average Conversion rate 2019]" caption="Average Conversion rate 2019" attribute="1" defaultMemberUniqueName="[Table1].[Average Conversion rate 2019].[All]" allUniqueName="[Table1].[Average Conversion rate 2019].[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5"/>
      </fieldsUsage>
    </cacheHierarchy>
    <cacheHierarchy uniqueName="[Table4].[Average Conversion Rate in 2020]" caption="Average Conversion Rate in 2020" attribute="1" defaultMemberUniqueName="[Table4].[Average Conversion Rate in 2020].[All]" allUniqueName="[Table4].[Average Conversion Rate in 2020].[All]" dimensionUniqueName="[Table4]" displayFolder="" count="0" memberValueDatatype="5" unbalanced="0"/>
    <cacheHierarchy uniqueName="[Table4].[Average Conversion rate 2019]" caption="Average Conversion rate 2019" attribute="1" defaultMemberUniqueName="[Table4].[Average Conversion rate 2019].[All]" allUniqueName="[Table4].[Average Conversion rate 2019].[All]" dimensionUniqueName="[Table4]"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1"/>
        </ext>
      </extLst>
    </cacheHierarchy>
    <cacheHierarchy uniqueName="[Measures].[Sum of Users]" caption="Sum of Users" measure="1" displayFolder="" measureGroup="Table1" count="0" hidden="1">
      <extLst>
        <ext xmlns:x15="http://schemas.microsoft.com/office/spreadsheetml/2010/11/main" uri="{B97F6D7D-B522-45F9-BDA1-12C45D357490}">
          <x15:cacheHierarchy aggregatedColumn="4"/>
        </ext>
      </extLst>
    </cacheHierarchy>
    <cacheHierarchy uniqueName="[Measures].[Average of Users]" caption="Average of Users" measure="1" displayFolder="" measureGroup="Table1" count="0" hidden="1">
      <extLst>
        <ext xmlns:x15="http://schemas.microsoft.com/office/spreadsheetml/2010/11/main" uri="{B97F6D7D-B522-45F9-BDA1-12C45D357490}">
          <x15:cacheHierarchy aggregatedColumn="4"/>
        </ext>
      </extLst>
    </cacheHierarchy>
    <cacheHierarchy uniqueName="[Measures].[Sum of Transactions]" caption="Sum of Transactions" measure="1" displayFolder="" measureGroup="Table1" count="0" hidden="1">
      <extLst>
        <ext xmlns:x15="http://schemas.microsoft.com/office/spreadsheetml/2010/11/main" uri="{B97F6D7D-B522-45F9-BDA1-12C45D357490}">
          <x15:cacheHierarchy aggregatedColumn="13"/>
        </ext>
      </extLst>
    </cacheHierarchy>
    <cacheHierarchy uniqueName="[Measures].[Sum of Average Conversion Rate in 2020]" caption="Sum of Average Conversion Rate in 2020" measure="1" displayFolder="" measureGroup="Table4" count="0" hidden="1">
      <extLst>
        <ext xmlns:x15="http://schemas.microsoft.com/office/spreadsheetml/2010/11/main" uri="{B97F6D7D-B522-45F9-BDA1-12C45D357490}">
          <x15:cacheHierarchy aggregatedColumn="26"/>
        </ext>
      </extLst>
    </cacheHierarchy>
    <cacheHierarchy uniqueName="[Measures].[Sum of Average Conversion rate 2019]" caption="Sum of Average Conversion rate 2019" measure="1" displayFolder="" measureGroup="Table4" count="0" hidden="1">
      <extLst>
        <ext xmlns:x15="http://schemas.microsoft.com/office/spreadsheetml/2010/11/main" uri="{B97F6D7D-B522-45F9-BDA1-12C45D357490}">
          <x15:cacheHierarchy aggregatedColumn="27"/>
        </ext>
      </extLst>
    </cacheHierarchy>
    <cacheHierarchy uniqueName="[Measures].[Sum of Average Conversion Rate in 2020 2]" caption="Sum of Average Conversion Rate in 2020 2" measure="1" displayFolder="" measureGroup="Table1" count="0" hidden="1">
      <extLst>
        <ext xmlns:x15="http://schemas.microsoft.com/office/spreadsheetml/2010/11/main" uri="{B97F6D7D-B522-45F9-BDA1-12C45D357490}">
          <x15:cacheHierarchy aggregatedColumn="21"/>
        </ext>
      </extLst>
    </cacheHierarchy>
    <cacheHierarchy uniqueName="[Measures].[Sum of Average Conversion rate 2019 2]" caption="Sum of Average Conversion rate 2019 2" measure="1" displayFolder="" measureGroup="Table1"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Bounce Rate]" caption="Sum of Bounce Rate" measure="1" displayFolder="" measureGroup="Table1" count="0" hidden="1">
      <extLst>
        <ext xmlns:x15="http://schemas.microsoft.com/office/spreadsheetml/2010/11/main" uri="{B97F6D7D-B522-45F9-BDA1-12C45D357490}">
          <x15:cacheHierarchy aggregatedColumn="8"/>
        </ext>
      </extLst>
    </cacheHierarchy>
    <cacheHierarchy uniqueName="[Measures].[Average of Bounce Rate]" caption="Average of Bounce Rate"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 caption="Average of Conversion Rate (%)" measure="1" displayFolder="" measureGroup="Table1"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Revenue Per Session]" caption="Sum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Average of Revenue Per Session]" caption="Average of Revenue Per Session" measure="1" displayFolder="" measureGroup="Table1" count="0" oneField="1" hidden="1">
      <fieldsUsage count="1">
        <fieldUsage x="4"/>
      </fieldsUsage>
      <extLst>
        <ext xmlns:x15="http://schemas.microsoft.com/office/spreadsheetml/2010/11/main" uri="{B97F6D7D-B522-45F9-BDA1-12C45D357490}">
          <x15:cacheHierarchy aggregatedColumn="18"/>
        </ext>
      </extLst>
    </cacheHierarchy>
    <cacheHierarchy uniqueName="[Measures].[Max of Conversion Rate (%)]" caption="Max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Pageviews]" caption="Sum of Pageviews" measure="1" displayFolder="" measureGroup="Table1" count="0" hidden="1">
      <extLst>
        <ext xmlns:x15="http://schemas.microsoft.com/office/spreadsheetml/2010/11/main" uri="{B97F6D7D-B522-45F9-BDA1-12C45D357490}">
          <x15:cacheHierarchy aggregatedColumn="9"/>
        </ext>
      </extLst>
    </cacheHierarchy>
    <cacheHierarchy uniqueName="[Measures].[Average of Pageviews]" caption="Average of Pageviews" measure="1" displayFolder="" measureGroup="Table1" count="0" hidden="1">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15"/>
        </ext>
      </extLst>
    </cacheHierarchy>
    <cacheHierarchy uniqueName="[Measures].[Count of Avg. Session Duration]" caption="Count of Avg. Session Duration" measure="1" displayFolder="" measureGroup="Table1" count="0" hidden="1">
      <extLst>
        <ext xmlns:x15="http://schemas.microsoft.com/office/spreadsheetml/2010/11/main" uri="{B97F6D7D-B522-45F9-BDA1-12C45D357490}">
          <x15:cacheHierarchy aggregatedColumn="10"/>
        </ext>
      </extLst>
    </cacheHierarchy>
    <cacheHierarchy uniqueName="[Measures].[Sum of User Retention Rate %]" caption="Sum of User Retention Rate %" measure="1" displayFolder="" measureGroup="Table1" count="0" hidden="1">
      <extLst>
        <ext xmlns:x15="http://schemas.microsoft.com/office/spreadsheetml/2010/11/main" uri="{B97F6D7D-B522-45F9-BDA1-12C45D357490}">
          <x15:cacheHierarchy aggregatedColumn="16"/>
        </ext>
      </extLst>
    </cacheHierarchy>
    <cacheHierarchy uniqueName="[Measures].[Sum of Returning Users]" caption="Sum of Returning Users" measure="1" displayFolder="" measureGroup="Table1" count="0" hidden="1">
      <extLst>
        <ext xmlns:x15="http://schemas.microsoft.com/office/spreadsheetml/2010/11/main" uri="{B97F6D7D-B522-45F9-BDA1-12C45D357490}">
          <x15:cacheHierarchy aggregatedColumn="6"/>
        </ext>
      </extLst>
    </cacheHierarchy>
    <cacheHierarchy uniqueName="[Measures].[Sum of New Users]" caption="Sum of New Users" measure="1" displayFolder="" measureGroup="Table1" count="0" hidden="1">
      <extLst>
        <ext xmlns:x15="http://schemas.microsoft.com/office/spreadsheetml/2010/11/main" uri="{B97F6D7D-B522-45F9-BDA1-12C45D357490}">
          <x15:cacheHierarchy aggregatedColumn="5"/>
        </ext>
      </extLst>
    </cacheHierarchy>
    <cacheHierarchy uniqueName="[Measures].[Sum of Revenue Per User]" caption="Sum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Per User]" caption="Average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Cost Per Conversion %]" caption="Count of Cost Per Conversion %" measure="1" displayFolder="" measureGroup="Table1" count="0" hidden="1">
      <extLst>
        <ext xmlns:x15="http://schemas.microsoft.com/office/spreadsheetml/2010/11/main" uri="{B97F6D7D-B522-45F9-BDA1-12C45D357490}">
          <x15:cacheHierarchy aggregatedColumn="20"/>
        </ext>
      </extLst>
    </cacheHierarchy>
    <cacheHierarchy uniqueName="[Measures].[Sum of Sessions]" caption="Sum of Sessions" measure="1" displayFolder="" measureGroup="Table1" count="0" hidden="1">
      <extLst>
        <ext xmlns:x15="http://schemas.microsoft.com/office/spreadsheetml/2010/11/main" uri="{B97F6D7D-B522-45F9-BDA1-12C45D357490}">
          <x15:cacheHierarchy aggregatedColumn="7"/>
        </ext>
      </extLst>
    </cacheHierarchy>
    <cacheHierarchy uniqueName="[Measures].[Count of Revenue Per Transactions]" caption="Count of Revenue Per Transactions"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esh Kedar" refreshedDate="45978.844681828705" backgroundQuery="1" createdVersion="8" refreshedVersion="8" minRefreshableVersion="3" recordCount="0" supportSubquery="1" supportAdvancedDrill="1" xr:uid="{86066589-88DC-4705-AAD4-DC26D3B5284F}">
  <cacheSource type="external" connectionId="1"/>
  <cacheFields count="3">
    <cacheField name="[Table1].[Year].[Year]" caption="Year" numFmtId="0" hierarchy="1" level="1">
      <sharedItems containsSemiMixedTypes="0" containsString="0" containsNumber="1" containsInteger="1" minValue="2019" maxValue="2020" count="2">
        <n v="2019"/>
        <n v="2020"/>
      </sharedItems>
      <extLst>
        <ext xmlns:x15="http://schemas.microsoft.com/office/spreadsheetml/2010/11/main" uri="{4F2E5C28-24EA-4eb8-9CBF-B6C8F9C3D259}">
          <x15:cachedUniqueNames>
            <x15:cachedUniqueName index="0" name="[Table1].[Year].&amp;[2019]"/>
            <x15:cachedUniqueName index="1" name="[Table1].[Year].&amp;[2020]"/>
          </x15:cachedUniqueNames>
        </ext>
      </extLst>
    </cacheField>
    <cacheField name="[Measures].[Sum of Users]" caption="Sum of Users" numFmtId="0" hierarchy="33" level="32767"/>
    <cacheField name="[Measures].[Sum of Revenue]" caption="Sum of Revenue" numFmtId="0" hierarchy="40" level="32767"/>
  </cacheFields>
  <cacheHierarchies count="61">
    <cacheHierarchy uniqueName="[Table1].[Source / Medium]" caption="Source / Medium" attribute="1" defaultMemberUniqueName="[Table1].[Source / Medium].[All]" allUniqueName="[Table1].[Source / Medium].[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Table1].[Date]" caption="Date" attribute="1" time="1" defaultMemberUniqueName="[Table1].[Date].[All]" allUniqueName="[Table1].[Date].[All]" dimensionUniqueName="[Table1]" displayFolder="" count="2" memberValueDatatype="7" unbalanced="0"/>
    <cacheHierarchy uniqueName="[Table1].[Month of the year]" caption="Month of the year" attribute="1" defaultMemberUniqueName="[Table1].[Month of the year].[All]" allUniqueName="[Table1].[Month of the year].[All]" dimensionUniqueName="[Table1]" displayFolder="" count="0" memberValueDatatype="20" unbalanced="0"/>
    <cacheHierarchy uniqueName="[Table1].[Users]" caption="Users" attribute="1" defaultMemberUniqueName="[Table1].[Users].[All]" allUniqueName="[Table1].[Users].[All]" dimensionUniqueName="[Table1]" displayFolder="" count="0" memberValueDatatype="20" unbalanced="0"/>
    <cacheHierarchy uniqueName="[Table1].[New Users]" caption="New Users" attribute="1" defaultMemberUniqueName="[Table1].[New Users].[All]" allUniqueName="[Table1].[New Users].[All]" dimensionUniqueName="[Table1]" displayFolder="" count="0" memberValueDatatype="20" unbalanced="0"/>
    <cacheHierarchy uniqueName="[Table1].[Returning Users]" caption="Returning Users" attribute="1" defaultMemberUniqueName="[Table1].[Returning Users].[All]" allUniqueName="[Table1].[Returning Users].[All]" dimensionUniqueName="[Table1]" displayFolder="" count="0" memberValueDatatype="20" unbalanced="0"/>
    <cacheHierarchy uniqueName="[Table1].[Sessions]" caption="Sessions" attribute="1" defaultMemberUniqueName="[Table1].[Sessions].[All]" allUniqueName="[Table1].[Sessions].[All]" dimensionUniqueName="[Table1]" displayFolder="" count="0" memberValueDatatype="20" unbalanced="0"/>
    <cacheHierarchy uniqueName="[Table1].[Bounce Rate]" caption="Bounce Rate" attribute="1" defaultMemberUniqueName="[Table1].[Bounce Rate].[All]" allUniqueName="[Table1].[Bounce Rate].[All]" dimensionUniqueName="[Table1]" displayFolder="" count="0" memberValueDatatype="5" unbalanced="0"/>
    <cacheHierarchy uniqueName="[Table1].[Pageviews]" caption="Pageviews" attribute="1" defaultMemberUniqueName="[Table1].[Pageviews].[All]" allUniqueName="[Table1].[Pageviews].[All]" dimensionUniqueName="[Table1]" displayFolder="" count="0" memberValueDatatype="20" unbalanced="0"/>
    <cacheHierarchy uniqueName="[Table1].[Avg. Session Duration]" caption="Avg. Session Duration" attribute="1" time="1" defaultMemberUniqueName="[Table1].[Avg. Session Duration].[All]" allUniqueName="[Table1].[Avg. Session Duration].[All]" dimensionUniqueName="[Table1]" displayFolder="" count="0" memberValueDatatype="7" unbalanced="0"/>
    <cacheHierarchy uniqueName="[Table1].[Avg PageViews/Session]" caption="Avg PageViews/Session" attribute="1" time="1" defaultMemberUniqueName="[Table1].[Avg PageViews/Session].[All]" allUniqueName="[Table1].[Avg PageViews/Session].[All]" dimensionUniqueName="[Table1]" displayFolder="" count="0" memberValueDatatype="7"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Transactions]" caption="Transactions" attribute="1" defaultMemberUniqueName="[Table1].[Transactions].[All]" allUniqueName="[Table1].[Transactions].[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ser Retention Rate %]" caption="User Retention Rate %" attribute="1" defaultMemberUniqueName="[Table1].[User Retention Rate %].[All]" allUniqueName="[Table1].[User Retention Rate %].[All]" dimensionUniqueName="[Table1]" displayFolder="" count="0" memberValueDatatype="5" unbalanced="0"/>
    <cacheHierarchy uniqueName="[Table1].[Revenue Per User]" caption="Revenue Per User" attribute="1" defaultMemberUniqueName="[Table1].[Revenue Per User].[All]" allUniqueName="[Table1].[Revenue Per User].[All]" dimensionUniqueName="[Table1]" displayFolder="" count="0" memberValueDatatype="5" unbalanced="0"/>
    <cacheHierarchy uniqueName="[Table1].[Revenue Per Session]" caption="Revenue Per Session" attribute="1" defaultMemberUniqueName="[Table1].[Revenue Per Session].[All]" allUniqueName="[Table1].[Revenue Per Session].[All]" dimensionUniqueName="[Table1]" displayFolder="" count="0" memberValueDatatype="5" unbalanced="0"/>
    <cacheHierarchy uniqueName="[Table1].[Revenue Per Transactions]" caption="Revenue Per Transactions" attribute="1" defaultMemberUniqueName="[Table1].[Revenue Per Transactions].[All]" allUniqueName="[Table1].[Revenue Per Transactions].[All]" dimensionUniqueName="[Table1]" displayFolder="" count="0" memberValueDatatype="130" unbalanced="0"/>
    <cacheHierarchy uniqueName="[Table1].[Cost Per Conversion %]" caption="Cost Per Conversion %" attribute="1" defaultMemberUniqueName="[Table1].[Cost Per Conversion %].[All]" allUniqueName="[Table1].[Cost Per Conversion %].[All]" dimensionUniqueName="[Table1]" displayFolder="" count="0" memberValueDatatype="130" unbalanced="0"/>
    <cacheHierarchy uniqueName="[Table1].[Average Conversion Rate in 2020]" caption="Average Conversion Rate in 2020" attribute="1" defaultMemberUniqueName="[Table1].[Average Conversion Rate in 2020].[All]" allUniqueName="[Table1].[Average Conversion Rate in 2020].[All]" dimensionUniqueName="[Table1]" displayFolder="" count="0" memberValueDatatype="5" unbalanced="0"/>
    <cacheHierarchy uniqueName="[Table1].[Average Conversion rate 2019]" caption="Average Conversion rate 2019" attribute="1" defaultMemberUniqueName="[Table1].[Average Conversion rate 2019].[All]" allUniqueName="[Table1].[Average Conversion rate 2019].[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4].[Average Conversion Rate in 2020]" caption="Average Conversion Rate in 2020" attribute="1" defaultMemberUniqueName="[Table4].[Average Conversion Rate in 2020].[All]" allUniqueName="[Table4].[Average Conversion Rate in 2020].[All]" dimensionUniqueName="[Table4]" displayFolder="" count="0" memberValueDatatype="5" unbalanced="0"/>
    <cacheHierarchy uniqueName="[Table4].[Average Conversion rate 2019]" caption="Average Conversion rate 2019" attribute="1" defaultMemberUniqueName="[Table4].[Average Conversion rate 2019].[All]" allUniqueName="[Table4].[Average Conversion rate 2019].[All]" dimensionUniqueName="[Table4]"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1"/>
        </ext>
      </extLst>
    </cacheHierarchy>
    <cacheHierarchy uniqueName="[Measures].[Sum of Users]" caption="Sum of Users"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Users]" caption="Average of Users" measure="1" displayFolder="" measureGroup="Table1" count="0" hidden="1">
      <extLst>
        <ext xmlns:x15="http://schemas.microsoft.com/office/spreadsheetml/2010/11/main" uri="{B97F6D7D-B522-45F9-BDA1-12C45D357490}">
          <x15:cacheHierarchy aggregatedColumn="4"/>
        </ext>
      </extLst>
    </cacheHierarchy>
    <cacheHierarchy uniqueName="[Measures].[Sum of Transactions]" caption="Sum of Transactions" measure="1" displayFolder="" measureGroup="Table1" count="0" hidden="1">
      <extLst>
        <ext xmlns:x15="http://schemas.microsoft.com/office/spreadsheetml/2010/11/main" uri="{B97F6D7D-B522-45F9-BDA1-12C45D357490}">
          <x15:cacheHierarchy aggregatedColumn="13"/>
        </ext>
      </extLst>
    </cacheHierarchy>
    <cacheHierarchy uniqueName="[Measures].[Sum of Average Conversion Rate in 2020]" caption="Sum of Average Conversion Rate in 2020" measure="1" displayFolder="" measureGroup="Table4" count="0" hidden="1">
      <extLst>
        <ext xmlns:x15="http://schemas.microsoft.com/office/spreadsheetml/2010/11/main" uri="{B97F6D7D-B522-45F9-BDA1-12C45D357490}">
          <x15:cacheHierarchy aggregatedColumn="26"/>
        </ext>
      </extLst>
    </cacheHierarchy>
    <cacheHierarchy uniqueName="[Measures].[Sum of Average Conversion rate 2019]" caption="Sum of Average Conversion rate 2019" measure="1" displayFolder="" measureGroup="Table4" count="0" hidden="1">
      <extLst>
        <ext xmlns:x15="http://schemas.microsoft.com/office/spreadsheetml/2010/11/main" uri="{B97F6D7D-B522-45F9-BDA1-12C45D357490}">
          <x15:cacheHierarchy aggregatedColumn="27"/>
        </ext>
      </extLst>
    </cacheHierarchy>
    <cacheHierarchy uniqueName="[Measures].[Sum of Average Conversion Rate in 2020 2]" caption="Sum of Average Conversion Rate in 2020 2" measure="1" displayFolder="" measureGroup="Table1" count="0" hidden="1">
      <extLst>
        <ext xmlns:x15="http://schemas.microsoft.com/office/spreadsheetml/2010/11/main" uri="{B97F6D7D-B522-45F9-BDA1-12C45D357490}">
          <x15:cacheHierarchy aggregatedColumn="21"/>
        </ext>
      </extLst>
    </cacheHierarchy>
    <cacheHierarchy uniqueName="[Measures].[Sum of Average Conversion rate 2019 2]" caption="Sum of Average Conversion rate 2019 2" measure="1" displayFolder="" measureGroup="Table1"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Table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Bounce Rate]" caption="Sum of Bounce Rate" measure="1" displayFolder="" measureGroup="Table1" count="0" hidden="1">
      <extLst>
        <ext xmlns:x15="http://schemas.microsoft.com/office/spreadsheetml/2010/11/main" uri="{B97F6D7D-B522-45F9-BDA1-12C45D357490}">
          <x15:cacheHierarchy aggregatedColumn="8"/>
        </ext>
      </extLst>
    </cacheHierarchy>
    <cacheHierarchy uniqueName="[Measures].[Average of Bounce Rate]" caption="Average of Bounce Rate" measure="1" displayFolder="" measureGroup="Table1" count="0" hidden="1">
      <extLst>
        <ext xmlns:x15="http://schemas.microsoft.com/office/spreadsheetml/2010/11/main" uri="{B97F6D7D-B522-45F9-BDA1-12C45D357490}">
          <x15:cacheHierarchy aggregatedColumn="8"/>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Revenue Per Session]" caption="Sum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Average of Revenue Per Session]" caption="Average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Max of Conversion Rate (%)]" caption="Max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Pageviews]" caption="Sum of Pageviews" measure="1" displayFolder="" measureGroup="Table1" count="0" hidden="1">
      <extLst>
        <ext xmlns:x15="http://schemas.microsoft.com/office/spreadsheetml/2010/11/main" uri="{B97F6D7D-B522-45F9-BDA1-12C45D357490}">
          <x15:cacheHierarchy aggregatedColumn="9"/>
        </ext>
      </extLst>
    </cacheHierarchy>
    <cacheHierarchy uniqueName="[Measures].[Average of Pageviews]" caption="Average of Pageviews" measure="1" displayFolder="" measureGroup="Table1" count="0" hidden="1">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15"/>
        </ext>
      </extLst>
    </cacheHierarchy>
    <cacheHierarchy uniqueName="[Measures].[Count of Avg. Session Duration]" caption="Count of Avg. Session Duration" measure="1" displayFolder="" measureGroup="Table1" count="0" hidden="1">
      <extLst>
        <ext xmlns:x15="http://schemas.microsoft.com/office/spreadsheetml/2010/11/main" uri="{B97F6D7D-B522-45F9-BDA1-12C45D357490}">
          <x15:cacheHierarchy aggregatedColumn="10"/>
        </ext>
      </extLst>
    </cacheHierarchy>
    <cacheHierarchy uniqueName="[Measures].[Sum of User Retention Rate %]" caption="Sum of User Retention Rate %" measure="1" displayFolder="" measureGroup="Table1" count="0" hidden="1">
      <extLst>
        <ext xmlns:x15="http://schemas.microsoft.com/office/spreadsheetml/2010/11/main" uri="{B97F6D7D-B522-45F9-BDA1-12C45D357490}">
          <x15:cacheHierarchy aggregatedColumn="16"/>
        </ext>
      </extLst>
    </cacheHierarchy>
    <cacheHierarchy uniqueName="[Measures].[Sum of Returning Users]" caption="Sum of Returning Users" measure="1" displayFolder="" measureGroup="Table1" count="0" hidden="1">
      <extLst>
        <ext xmlns:x15="http://schemas.microsoft.com/office/spreadsheetml/2010/11/main" uri="{B97F6D7D-B522-45F9-BDA1-12C45D357490}">
          <x15:cacheHierarchy aggregatedColumn="6"/>
        </ext>
      </extLst>
    </cacheHierarchy>
    <cacheHierarchy uniqueName="[Measures].[Sum of New Users]" caption="Sum of New Users" measure="1" displayFolder="" measureGroup="Table1" count="0" hidden="1">
      <extLst>
        <ext xmlns:x15="http://schemas.microsoft.com/office/spreadsheetml/2010/11/main" uri="{B97F6D7D-B522-45F9-BDA1-12C45D357490}">
          <x15:cacheHierarchy aggregatedColumn="5"/>
        </ext>
      </extLst>
    </cacheHierarchy>
    <cacheHierarchy uniqueName="[Measures].[Sum of Revenue Per User]" caption="Sum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Per User]" caption="Average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Cost Per Conversion %]" caption="Count of Cost Per Conversion %" measure="1" displayFolder="" measureGroup="Table1" count="0" hidden="1">
      <extLst>
        <ext xmlns:x15="http://schemas.microsoft.com/office/spreadsheetml/2010/11/main" uri="{B97F6D7D-B522-45F9-BDA1-12C45D357490}">
          <x15:cacheHierarchy aggregatedColumn="20"/>
        </ext>
      </extLst>
    </cacheHierarchy>
    <cacheHierarchy uniqueName="[Measures].[Sum of Sessions]" caption="Sum of Sessions" measure="1" displayFolder="" measureGroup="Table1" count="0" hidden="1">
      <extLst>
        <ext xmlns:x15="http://schemas.microsoft.com/office/spreadsheetml/2010/11/main" uri="{B97F6D7D-B522-45F9-BDA1-12C45D357490}">
          <x15:cacheHierarchy aggregatedColumn="7"/>
        </ext>
      </extLst>
    </cacheHierarchy>
    <cacheHierarchy uniqueName="[Measures].[Count of Revenue Per Transactions]" caption="Count of Revenue Per Transactions"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esh Kedar" refreshedDate="45978.844681944443" backgroundQuery="1" createdVersion="8" refreshedVersion="8" minRefreshableVersion="3" recordCount="0" supportSubquery="1" supportAdvancedDrill="1" xr:uid="{03F41EC9-F487-4DF7-AE57-7DD84444C32B}">
  <cacheSource type="external" connectionId="1"/>
  <cacheFields count="3">
    <cacheField name="[Table1].[Source / Medium].[Source / Medium]" caption="Source / Medium" numFmtId="0" level="1">
      <sharedItems count="19">
        <s v="A"/>
        <s v="B"/>
        <s v="C"/>
        <s v="E"/>
        <s v="F"/>
        <s v="G"/>
        <s v="I"/>
        <s v="J"/>
        <s v="K"/>
        <s v="L"/>
        <s v="M"/>
        <s v="O"/>
        <s v="P"/>
        <s v="R"/>
        <s v="S"/>
        <s v="T"/>
        <s v="U"/>
        <s v="V"/>
        <s v="Z"/>
      </sharedItems>
    </cacheField>
    <cacheField name="[Table1].[Year].[Year]" caption="Year" numFmtId="0" hierarchy="1" level="1">
      <sharedItems containsSemiMixedTypes="0" containsNonDate="0" containsString="0"/>
    </cacheField>
    <cacheField name="[Measures].[Max of Conversion Rate (%)]" caption="Max of Conversion Rate (%)" numFmtId="0" hierarchy="47" level="32767"/>
  </cacheFields>
  <cacheHierarchies count="61">
    <cacheHierarchy uniqueName="[Table1].[Source / Medium]" caption="Source / Medium" attribute="1" defaultMemberUniqueName="[Table1].[Source / Medium].[All]" allUniqueName="[Table1].[Source / Medium].[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Date]" caption="Date" attribute="1" time="1" defaultMemberUniqueName="[Table1].[Date].[All]" allUniqueName="[Table1].[Date].[All]" dimensionUniqueName="[Table1]" displayFolder="" count="2" memberValueDatatype="7" unbalanced="0"/>
    <cacheHierarchy uniqueName="[Table1].[Month of the year]" caption="Month of the year" attribute="1" defaultMemberUniqueName="[Table1].[Month of the year].[All]" allUniqueName="[Table1].[Month of the year].[All]" dimensionUniqueName="[Table1]" displayFolder="" count="0" memberValueDatatype="20" unbalanced="0"/>
    <cacheHierarchy uniqueName="[Table1].[Users]" caption="Users" attribute="1" defaultMemberUniqueName="[Table1].[Users].[All]" allUniqueName="[Table1].[Users].[All]" dimensionUniqueName="[Table1]" displayFolder="" count="0" memberValueDatatype="20" unbalanced="0"/>
    <cacheHierarchy uniqueName="[Table1].[New Users]" caption="New Users" attribute="1" defaultMemberUniqueName="[Table1].[New Users].[All]" allUniqueName="[Table1].[New Users].[All]" dimensionUniqueName="[Table1]" displayFolder="" count="0" memberValueDatatype="20" unbalanced="0"/>
    <cacheHierarchy uniqueName="[Table1].[Returning Users]" caption="Returning Users" attribute="1" defaultMemberUniqueName="[Table1].[Returning Users].[All]" allUniqueName="[Table1].[Returning Users].[All]" dimensionUniqueName="[Table1]" displayFolder="" count="0" memberValueDatatype="20" unbalanced="0"/>
    <cacheHierarchy uniqueName="[Table1].[Sessions]" caption="Sessions" attribute="1" defaultMemberUniqueName="[Table1].[Sessions].[All]" allUniqueName="[Table1].[Sessions].[All]" dimensionUniqueName="[Table1]" displayFolder="" count="0" memberValueDatatype="20" unbalanced="0"/>
    <cacheHierarchy uniqueName="[Table1].[Bounce Rate]" caption="Bounce Rate" attribute="1" defaultMemberUniqueName="[Table1].[Bounce Rate].[All]" allUniqueName="[Table1].[Bounce Rate].[All]" dimensionUniqueName="[Table1]" displayFolder="" count="0" memberValueDatatype="5" unbalanced="0"/>
    <cacheHierarchy uniqueName="[Table1].[Pageviews]" caption="Pageviews" attribute="1" defaultMemberUniqueName="[Table1].[Pageviews].[All]" allUniqueName="[Table1].[Pageviews].[All]" dimensionUniqueName="[Table1]" displayFolder="" count="0" memberValueDatatype="20" unbalanced="0"/>
    <cacheHierarchy uniqueName="[Table1].[Avg. Session Duration]" caption="Avg. Session Duration" attribute="1" time="1" defaultMemberUniqueName="[Table1].[Avg. Session Duration].[All]" allUniqueName="[Table1].[Avg. Session Duration].[All]" dimensionUniqueName="[Table1]" displayFolder="" count="0" memberValueDatatype="7" unbalanced="0"/>
    <cacheHierarchy uniqueName="[Table1].[Avg PageViews/Session]" caption="Avg PageViews/Session" attribute="1" time="1" defaultMemberUniqueName="[Table1].[Avg PageViews/Session].[All]" allUniqueName="[Table1].[Avg PageViews/Session].[All]" dimensionUniqueName="[Table1]" displayFolder="" count="0" memberValueDatatype="7"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Transactions]" caption="Transactions" attribute="1" defaultMemberUniqueName="[Table1].[Transactions].[All]" allUniqueName="[Table1].[Transactions].[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ser Retention Rate %]" caption="User Retention Rate %" attribute="1" defaultMemberUniqueName="[Table1].[User Retention Rate %].[All]" allUniqueName="[Table1].[User Retention Rate %].[All]" dimensionUniqueName="[Table1]" displayFolder="" count="0" memberValueDatatype="5" unbalanced="0"/>
    <cacheHierarchy uniqueName="[Table1].[Revenue Per User]" caption="Revenue Per User" attribute="1" defaultMemberUniqueName="[Table1].[Revenue Per User].[All]" allUniqueName="[Table1].[Revenue Per User].[All]" dimensionUniqueName="[Table1]" displayFolder="" count="0" memberValueDatatype="5" unbalanced="0"/>
    <cacheHierarchy uniqueName="[Table1].[Revenue Per Session]" caption="Revenue Per Session" attribute="1" defaultMemberUniqueName="[Table1].[Revenue Per Session].[All]" allUniqueName="[Table1].[Revenue Per Session].[All]" dimensionUniqueName="[Table1]" displayFolder="" count="0" memberValueDatatype="5" unbalanced="0"/>
    <cacheHierarchy uniqueName="[Table1].[Revenue Per Transactions]" caption="Revenue Per Transactions" attribute="1" defaultMemberUniqueName="[Table1].[Revenue Per Transactions].[All]" allUniqueName="[Table1].[Revenue Per Transactions].[All]" dimensionUniqueName="[Table1]" displayFolder="" count="0" memberValueDatatype="130" unbalanced="0"/>
    <cacheHierarchy uniqueName="[Table1].[Cost Per Conversion %]" caption="Cost Per Conversion %" attribute="1" defaultMemberUniqueName="[Table1].[Cost Per Conversion %].[All]" allUniqueName="[Table1].[Cost Per Conversion %].[All]" dimensionUniqueName="[Table1]" displayFolder="" count="0" memberValueDatatype="130" unbalanced="0"/>
    <cacheHierarchy uniqueName="[Table1].[Average Conversion Rate in 2020]" caption="Average Conversion Rate in 2020" attribute="1" defaultMemberUniqueName="[Table1].[Average Conversion Rate in 2020].[All]" allUniqueName="[Table1].[Average Conversion Rate in 2020].[All]" dimensionUniqueName="[Table1]" displayFolder="" count="0" memberValueDatatype="5" unbalanced="0"/>
    <cacheHierarchy uniqueName="[Table1].[Average Conversion rate 2019]" caption="Average Conversion rate 2019" attribute="1" defaultMemberUniqueName="[Table1].[Average Conversion rate 2019].[All]" allUniqueName="[Table1].[Average Conversion rate 2019].[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4].[Average Conversion Rate in 2020]" caption="Average Conversion Rate in 2020" attribute="1" defaultMemberUniqueName="[Table4].[Average Conversion Rate in 2020].[All]" allUniqueName="[Table4].[Average Conversion Rate in 2020].[All]" dimensionUniqueName="[Table4]" displayFolder="" count="0" memberValueDatatype="5" unbalanced="0"/>
    <cacheHierarchy uniqueName="[Table4].[Average Conversion rate 2019]" caption="Average Conversion rate 2019" attribute="1" defaultMemberUniqueName="[Table4].[Average Conversion rate 2019].[All]" allUniqueName="[Table4].[Average Conversion rate 2019].[All]" dimensionUniqueName="[Table4]"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1"/>
        </ext>
      </extLst>
    </cacheHierarchy>
    <cacheHierarchy uniqueName="[Measures].[Sum of Users]" caption="Sum of Users" measure="1" displayFolder="" measureGroup="Table1" count="0" hidden="1">
      <extLst>
        <ext xmlns:x15="http://schemas.microsoft.com/office/spreadsheetml/2010/11/main" uri="{B97F6D7D-B522-45F9-BDA1-12C45D357490}">
          <x15:cacheHierarchy aggregatedColumn="4"/>
        </ext>
      </extLst>
    </cacheHierarchy>
    <cacheHierarchy uniqueName="[Measures].[Average of Users]" caption="Average of Users" measure="1" displayFolder="" measureGroup="Table1" count="0" hidden="1">
      <extLst>
        <ext xmlns:x15="http://schemas.microsoft.com/office/spreadsheetml/2010/11/main" uri="{B97F6D7D-B522-45F9-BDA1-12C45D357490}">
          <x15:cacheHierarchy aggregatedColumn="4"/>
        </ext>
      </extLst>
    </cacheHierarchy>
    <cacheHierarchy uniqueName="[Measures].[Sum of Transactions]" caption="Sum of Transactions" measure="1" displayFolder="" measureGroup="Table1" count="0" hidden="1">
      <extLst>
        <ext xmlns:x15="http://schemas.microsoft.com/office/spreadsheetml/2010/11/main" uri="{B97F6D7D-B522-45F9-BDA1-12C45D357490}">
          <x15:cacheHierarchy aggregatedColumn="13"/>
        </ext>
      </extLst>
    </cacheHierarchy>
    <cacheHierarchy uniqueName="[Measures].[Sum of Average Conversion Rate in 2020]" caption="Sum of Average Conversion Rate in 2020" measure="1" displayFolder="" measureGroup="Table4" count="0" hidden="1">
      <extLst>
        <ext xmlns:x15="http://schemas.microsoft.com/office/spreadsheetml/2010/11/main" uri="{B97F6D7D-B522-45F9-BDA1-12C45D357490}">
          <x15:cacheHierarchy aggregatedColumn="26"/>
        </ext>
      </extLst>
    </cacheHierarchy>
    <cacheHierarchy uniqueName="[Measures].[Sum of Average Conversion rate 2019]" caption="Sum of Average Conversion rate 2019" measure="1" displayFolder="" measureGroup="Table4" count="0" hidden="1">
      <extLst>
        <ext xmlns:x15="http://schemas.microsoft.com/office/spreadsheetml/2010/11/main" uri="{B97F6D7D-B522-45F9-BDA1-12C45D357490}">
          <x15:cacheHierarchy aggregatedColumn="27"/>
        </ext>
      </extLst>
    </cacheHierarchy>
    <cacheHierarchy uniqueName="[Measures].[Sum of Average Conversion Rate in 2020 2]" caption="Sum of Average Conversion Rate in 2020 2" measure="1" displayFolder="" measureGroup="Table1" count="0" hidden="1">
      <extLst>
        <ext xmlns:x15="http://schemas.microsoft.com/office/spreadsheetml/2010/11/main" uri="{B97F6D7D-B522-45F9-BDA1-12C45D357490}">
          <x15:cacheHierarchy aggregatedColumn="21"/>
        </ext>
      </extLst>
    </cacheHierarchy>
    <cacheHierarchy uniqueName="[Measures].[Sum of Average Conversion rate 2019 2]" caption="Sum of Average Conversion rate 2019 2" measure="1" displayFolder="" measureGroup="Table1"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Bounce Rate]" caption="Sum of Bounce Rate" measure="1" displayFolder="" measureGroup="Table1" count="0" hidden="1">
      <extLst>
        <ext xmlns:x15="http://schemas.microsoft.com/office/spreadsheetml/2010/11/main" uri="{B97F6D7D-B522-45F9-BDA1-12C45D357490}">
          <x15:cacheHierarchy aggregatedColumn="8"/>
        </ext>
      </extLst>
    </cacheHierarchy>
    <cacheHierarchy uniqueName="[Measures].[Average of Bounce Rate]" caption="Average of Bounce Rate" measure="1" displayFolder="" measureGroup="Table1" count="0" hidden="1">
      <extLst>
        <ext xmlns:x15="http://schemas.microsoft.com/office/spreadsheetml/2010/11/main" uri="{B97F6D7D-B522-45F9-BDA1-12C45D357490}">
          <x15:cacheHierarchy aggregatedColumn="8"/>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Revenue Per Session]" caption="Sum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Average of Revenue Per Session]" caption="Average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Max of Conversion Rate (%)]" caption="Max of Conversion Rate (%)"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Pageviews]" caption="Sum of Pageviews" measure="1" displayFolder="" measureGroup="Table1" count="0" hidden="1">
      <extLst>
        <ext xmlns:x15="http://schemas.microsoft.com/office/spreadsheetml/2010/11/main" uri="{B97F6D7D-B522-45F9-BDA1-12C45D357490}">
          <x15:cacheHierarchy aggregatedColumn="9"/>
        </ext>
      </extLst>
    </cacheHierarchy>
    <cacheHierarchy uniqueName="[Measures].[Average of Pageviews]" caption="Average of Pageviews" measure="1" displayFolder="" measureGroup="Table1" count="0" hidden="1">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15"/>
        </ext>
      </extLst>
    </cacheHierarchy>
    <cacheHierarchy uniqueName="[Measures].[Count of Avg. Session Duration]" caption="Count of Avg. Session Duration" measure="1" displayFolder="" measureGroup="Table1" count="0" hidden="1">
      <extLst>
        <ext xmlns:x15="http://schemas.microsoft.com/office/spreadsheetml/2010/11/main" uri="{B97F6D7D-B522-45F9-BDA1-12C45D357490}">
          <x15:cacheHierarchy aggregatedColumn="10"/>
        </ext>
      </extLst>
    </cacheHierarchy>
    <cacheHierarchy uniqueName="[Measures].[Sum of User Retention Rate %]" caption="Sum of User Retention Rate %" measure="1" displayFolder="" measureGroup="Table1" count="0" hidden="1">
      <extLst>
        <ext xmlns:x15="http://schemas.microsoft.com/office/spreadsheetml/2010/11/main" uri="{B97F6D7D-B522-45F9-BDA1-12C45D357490}">
          <x15:cacheHierarchy aggregatedColumn="16"/>
        </ext>
      </extLst>
    </cacheHierarchy>
    <cacheHierarchy uniqueName="[Measures].[Sum of Returning Users]" caption="Sum of Returning Users" measure="1" displayFolder="" measureGroup="Table1" count="0" hidden="1">
      <extLst>
        <ext xmlns:x15="http://schemas.microsoft.com/office/spreadsheetml/2010/11/main" uri="{B97F6D7D-B522-45F9-BDA1-12C45D357490}">
          <x15:cacheHierarchy aggregatedColumn="6"/>
        </ext>
      </extLst>
    </cacheHierarchy>
    <cacheHierarchy uniqueName="[Measures].[Sum of New Users]" caption="Sum of New Users" measure="1" displayFolder="" measureGroup="Table1" count="0" hidden="1">
      <extLst>
        <ext xmlns:x15="http://schemas.microsoft.com/office/spreadsheetml/2010/11/main" uri="{B97F6D7D-B522-45F9-BDA1-12C45D357490}">
          <x15:cacheHierarchy aggregatedColumn="5"/>
        </ext>
      </extLst>
    </cacheHierarchy>
    <cacheHierarchy uniqueName="[Measures].[Sum of Revenue Per User]" caption="Sum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Per User]" caption="Average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Cost Per Conversion %]" caption="Count of Cost Per Conversion %" measure="1" displayFolder="" measureGroup="Table1" count="0" hidden="1">
      <extLst>
        <ext xmlns:x15="http://schemas.microsoft.com/office/spreadsheetml/2010/11/main" uri="{B97F6D7D-B522-45F9-BDA1-12C45D357490}">
          <x15:cacheHierarchy aggregatedColumn="20"/>
        </ext>
      </extLst>
    </cacheHierarchy>
    <cacheHierarchy uniqueName="[Measures].[Sum of Sessions]" caption="Sum of Sessions" measure="1" displayFolder="" measureGroup="Table1" count="0" hidden="1">
      <extLst>
        <ext xmlns:x15="http://schemas.microsoft.com/office/spreadsheetml/2010/11/main" uri="{B97F6D7D-B522-45F9-BDA1-12C45D357490}">
          <x15:cacheHierarchy aggregatedColumn="7"/>
        </ext>
      </extLst>
    </cacheHierarchy>
    <cacheHierarchy uniqueName="[Measures].[Count of Revenue Per Transactions]" caption="Count of Revenue Per Transactions"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esh Kedar" refreshedDate="45978.844682291667" backgroundQuery="1" createdVersion="8" refreshedVersion="8" minRefreshableVersion="3" recordCount="0" supportSubquery="1" supportAdvancedDrill="1" xr:uid="{C2E3FEB2-A551-4E20-A9D2-BB4249B2C3E5}">
  <cacheSource type="external" connectionId="1"/>
  <cacheFields count="1">
    <cacheField name="[Measures].[Sum of Average Conversion rate 2019]" caption="Sum of Average Conversion rate 2019" numFmtId="0" hierarchy="37" level="32767"/>
  </cacheFields>
  <cacheHierarchies count="61">
    <cacheHierarchy uniqueName="[Table1].[Source / Medium]" caption="Source / Medium" attribute="1" defaultMemberUniqueName="[Table1].[Source / Medium].[All]" allUniqueName="[Table1].[Source / Medium].[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ate]" caption="Date" attribute="1" time="1" defaultMemberUniqueName="[Table1].[Date].[All]" allUniqueName="[Table1].[Date].[All]" dimensionUniqueName="[Table1]" displayFolder="" count="2" memberValueDatatype="7" unbalanced="0"/>
    <cacheHierarchy uniqueName="[Table1].[Month of the year]" caption="Month of the year" attribute="1" defaultMemberUniqueName="[Table1].[Month of the year].[All]" allUniqueName="[Table1].[Month of the year].[All]" dimensionUniqueName="[Table1]" displayFolder="" count="0" memberValueDatatype="20" unbalanced="0"/>
    <cacheHierarchy uniqueName="[Table1].[Users]" caption="Users" attribute="1" defaultMemberUniqueName="[Table1].[Users].[All]" allUniqueName="[Table1].[Users].[All]" dimensionUniqueName="[Table1]" displayFolder="" count="0" memberValueDatatype="20" unbalanced="0"/>
    <cacheHierarchy uniqueName="[Table1].[New Users]" caption="New Users" attribute="1" defaultMemberUniqueName="[Table1].[New Users].[All]" allUniqueName="[Table1].[New Users].[All]" dimensionUniqueName="[Table1]" displayFolder="" count="0" memberValueDatatype="20" unbalanced="0"/>
    <cacheHierarchy uniqueName="[Table1].[Returning Users]" caption="Returning Users" attribute="1" defaultMemberUniqueName="[Table1].[Returning Users].[All]" allUniqueName="[Table1].[Returning Users].[All]" dimensionUniqueName="[Table1]" displayFolder="" count="0" memberValueDatatype="20" unbalanced="0"/>
    <cacheHierarchy uniqueName="[Table1].[Sessions]" caption="Sessions" attribute="1" defaultMemberUniqueName="[Table1].[Sessions].[All]" allUniqueName="[Table1].[Sessions].[All]" dimensionUniqueName="[Table1]" displayFolder="" count="0" memberValueDatatype="20" unbalanced="0"/>
    <cacheHierarchy uniqueName="[Table1].[Bounce Rate]" caption="Bounce Rate" attribute="1" defaultMemberUniqueName="[Table1].[Bounce Rate].[All]" allUniqueName="[Table1].[Bounce Rate].[All]" dimensionUniqueName="[Table1]" displayFolder="" count="0" memberValueDatatype="5" unbalanced="0"/>
    <cacheHierarchy uniqueName="[Table1].[Pageviews]" caption="Pageviews" attribute="1" defaultMemberUniqueName="[Table1].[Pageviews].[All]" allUniqueName="[Table1].[Pageviews].[All]" dimensionUniqueName="[Table1]" displayFolder="" count="0" memberValueDatatype="20" unbalanced="0"/>
    <cacheHierarchy uniqueName="[Table1].[Avg. Session Duration]" caption="Avg. Session Duration" attribute="1" time="1" defaultMemberUniqueName="[Table1].[Avg. Session Duration].[All]" allUniqueName="[Table1].[Avg. Session Duration].[All]" dimensionUniqueName="[Table1]" displayFolder="" count="0" memberValueDatatype="7" unbalanced="0"/>
    <cacheHierarchy uniqueName="[Table1].[Avg PageViews/Session]" caption="Avg PageViews/Session" attribute="1" time="1" defaultMemberUniqueName="[Table1].[Avg PageViews/Session].[All]" allUniqueName="[Table1].[Avg PageViews/Session].[All]" dimensionUniqueName="[Table1]" displayFolder="" count="0" memberValueDatatype="7"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Transactions]" caption="Transactions" attribute="1" defaultMemberUniqueName="[Table1].[Transactions].[All]" allUniqueName="[Table1].[Transactions].[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ser Retention Rate %]" caption="User Retention Rate %" attribute="1" defaultMemberUniqueName="[Table1].[User Retention Rate %].[All]" allUniqueName="[Table1].[User Retention Rate %].[All]" dimensionUniqueName="[Table1]" displayFolder="" count="0" memberValueDatatype="5" unbalanced="0"/>
    <cacheHierarchy uniqueName="[Table1].[Revenue Per User]" caption="Revenue Per User" attribute="1" defaultMemberUniqueName="[Table1].[Revenue Per User].[All]" allUniqueName="[Table1].[Revenue Per User].[All]" dimensionUniqueName="[Table1]" displayFolder="" count="0" memberValueDatatype="5" unbalanced="0"/>
    <cacheHierarchy uniqueName="[Table1].[Revenue Per Session]" caption="Revenue Per Session" attribute="1" defaultMemberUniqueName="[Table1].[Revenue Per Session].[All]" allUniqueName="[Table1].[Revenue Per Session].[All]" dimensionUniqueName="[Table1]" displayFolder="" count="0" memberValueDatatype="5" unbalanced="0"/>
    <cacheHierarchy uniqueName="[Table1].[Revenue Per Transactions]" caption="Revenue Per Transactions" attribute="1" defaultMemberUniqueName="[Table1].[Revenue Per Transactions].[All]" allUniqueName="[Table1].[Revenue Per Transactions].[All]" dimensionUniqueName="[Table1]" displayFolder="" count="0" memberValueDatatype="130" unbalanced="0"/>
    <cacheHierarchy uniqueName="[Table1].[Cost Per Conversion %]" caption="Cost Per Conversion %" attribute="1" defaultMemberUniqueName="[Table1].[Cost Per Conversion %].[All]" allUniqueName="[Table1].[Cost Per Conversion %].[All]" dimensionUniqueName="[Table1]" displayFolder="" count="0" memberValueDatatype="130" unbalanced="0"/>
    <cacheHierarchy uniqueName="[Table1].[Average Conversion Rate in 2020]" caption="Average Conversion Rate in 2020" attribute="1" defaultMemberUniqueName="[Table1].[Average Conversion Rate in 2020].[All]" allUniqueName="[Table1].[Average Conversion Rate in 2020].[All]" dimensionUniqueName="[Table1]" displayFolder="" count="0" memberValueDatatype="5" unbalanced="0"/>
    <cacheHierarchy uniqueName="[Table1].[Average Conversion rate 2019]" caption="Average Conversion rate 2019" attribute="1" defaultMemberUniqueName="[Table1].[Average Conversion rate 2019].[All]" allUniqueName="[Table1].[Average Conversion rate 2019].[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4].[Average Conversion Rate in 2020]" caption="Average Conversion Rate in 2020" attribute="1" defaultMemberUniqueName="[Table4].[Average Conversion Rate in 2020].[All]" allUniqueName="[Table4].[Average Conversion Rate in 2020].[All]" dimensionUniqueName="[Table4]" displayFolder="" count="0" memberValueDatatype="5" unbalanced="0"/>
    <cacheHierarchy uniqueName="[Table4].[Average Conversion rate 2019]" caption="Average Conversion rate 2019" attribute="1" defaultMemberUniqueName="[Table4].[Average Conversion rate 2019].[All]" allUniqueName="[Table4].[Average Conversion rate 2019].[All]" dimensionUniqueName="[Table4]"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1"/>
        </ext>
      </extLst>
    </cacheHierarchy>
    <cacheHierarchy uniqueName="[Measures].[Sum of Users]" caption="Sum of Users" measure="1" displayFolder="" measureGroup="Table1" count="0" hidden="1">
      <extLst>
        <ext xmlns:x15="http://schemas.microsoft.com/office/spreadsheetml/2010/11/main" uri="{B97F6D7D-B522-45F9-BDA1-12C45D357490}">
          <x15:cacheHierarchy aggregatedColumn="4"/>
        </ext>
      </extLst>
    </cacheHierarchy>
    <cacheHierarchy uniqueName="[Measures].[Average of Users]" caption="Average of Users" measure="1" displayFolder="" measureGroup="Table1" count="0" hidden="1">
      <extLst>
        <ext xmlns:x15="http://schemas.microsoft.com/office/spreadsheetml/2010/11/main" uri="{B97F6D7D-B522-45F9-BDA1-12C45D357490}">
          <x15:cacheHierarchy aggregatedColumn="4"/>
        </ext>
      </extLst>
    </cacheHierarchy>
    <cacheHierarchy uniqueName="[Measures].[Sum of Transactions]" caption="Sum of Transactions" measure="1" displayFolder="" measureGroup="Table1" count="0" hidden="1">
      <extLst>
        <ext xmlns:x15="http://schemas.microsoft.com/office/spreadsheetml/2010/11/main" uri="{B97F6D7D-B522-45F9-BDA1-12C45D357490}">
          <x15:cacheHierarchy aggregatedColumn="13"/>
        </ext>
      </extLst>
    </cacheHierarchy>
    <cacheHierarchy uniqueName="[Measures].[Sum of Average Conversion Rate in 2020]" caption="Sum of Average Conversion Rate in 2020" measure="1" displayFolder="" measureGroup="Table4" count="0" hidden="1">
      <extLst>
        <ext xmlns:x15="http://schemas.microsoft.com/office/spreadsheetml/2010/11/main" uri="{B97F6D7D-B522-45F9-BDA1-12C45D357490}">
          <x15:cacheHierarchy aggregatedColumn="26"/>
        </ext>
      </extLst>
    </cacheHierarchy>
    <cacheHierarchy uniqueName="[Measures].[Sum of Average Conversion rate 2019]" caption="Sum of Average Conversion rate 2019" measure="1" displayFolder="" measureGroup="Table4"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Average Conversion Rate in 2020 2]" caption="Sum of Average Conversion Rate in 2020 2" measure="1" displayFolder="" measureGroup="Table1" count="0" hidden="1">
      <extLst>
        <ext xmlns:x15="http://schemas.microsoft.com/office/spreadsheetml/2010/11/main" uri="{B97F6D7D-B522-45F9-BDA1-12C45D357490}">
          <x15:cacheHierarchy aggregatedColumn="21"/>
        </ext>
      </extLst>
    </cacheHierarchy>
    <cacheHierarchy uniqueName="[Measures].[Sum of Average Conversion rate 2019 2]" caption="Sum of Average Conversion rate 2019 2" measure="1" displayFolder="" measureGroup="Table1"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Bounce Rate]" caption="Sum of Bounce Rate" measure="1" displayFolder="" measureGroup="Table1" count="0" hidden="1">
      <extLst>
        <ext xmlns:x15="http://schemas.microsoft.com/office/spreadsheetml/2010/11/main" uri="{B97F6D7D-B522-45F9-BDA1-12C45D357490}">
          <x15:cacheHierarchy aggregatedColumn="8"/>
        </ext>
      </extLst>
    </cacheHierarchy>
    <cacheHierarchy uniqueName="[Measures].[Average of Bounce Rate]" caption="Average of Bounce Rate" measure="1" displayFolder="" measureGroup="Table1" count="0" hidden="1">
      <extLst>
        <ext xmlns:x15="http://schemas.microsoft.com/office/spreadsheetml/2010/11/main" uri="{B97F6D7D-B522-45F9-BDA1-12C45D357490}">
          <x15:cacheHierarchy aggregatedColumn="8"/>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Revenue Per Session]" caption="Sum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Average of Revenue Per Session]" caption="Average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Max of Conversion Rate (%)]" caption="Max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Pageviews]" caption="Sum of Pageviews" measure="1" displayFolder="" measureGroup="Table1" count="0" hidden="1">
      <extLst>
        <ext xmlns:x15="http://schemas.microsoft.com/office/spreadsheetml/2010/11/main" uri="{B97F6D7D-B522-45F9-BDA1-12C45D357490}">
          <x15:cacheHierarchy aggregatedColumn="9"/>
        </ext>
      </extLst>
    </cacheHierarchy>
    <cacheHierarchy uniqueName="[Measures].[Average of Pageviews]" caption="Average of Pageviews" measure="1" displayFolder="" measureGroup="Table1" count="0" hidden="1">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15"/>
        </ext>
      </extLst>
    </cacheHierarchy>
    <cacheHierarchy uniqueName="[Measures].[Count of Avg. Session Duration]" caption="Count of Avg. Session Duration" measure="1" displayFolder="" measureGroup="Table1" count="0" hidden="1">
      <extLst>
        <ext xmlns:x15="http://schemas.microsoft.com/office/spreadsheetml/2010/11/main" uri="{B97F6D7D-B522-45F9-BDA1-12C45D357490}">
          <x15:cacheHierarchy aggregatedColumn="10"/>
        </ext>
      </extLst>
    </cacheHierarchy>
    <cacheHierarchy uniqueName="[Measures].[Sum of User Retention Rate %]" caption="Sum of User Retention Rate %" measure="1" displayFolder="" measureGroup="Table1" count="0" hidden="1">
      <extLst>
        <ext xmlns:x15="http://schemas.microsoft.com/office/spreadsheetml/2010/11/main" uri="{B97F6D7D-B522-45F9-BDA1-12C45D357490}">
          <x15:cacheHierarchy aggregatedColumn="16"/>
        </ext>
      </extLst>
    </cacheHierarchy>
    <cacheHierarchy uniqueName="[Measures].[Sum of Returning Users]" caption="Sum of Returning Users" measure="1" displayFolder="" measureGroup="Table1" count="0" hidden="1">
      <extLst>
        <ext xmlns:x15="http://schemas.microsoft.com/office/spreadsheetml/2010/11/main" uri="{B97F6D7D-B522-45F9-BDA1-12C45D357490}">
          <x15:cacheHierarchy aggregatedColumn="6"/>
        </ext>
      </extLst>
    </cacheHierarchy>
    <cacheHierarchy uniqueName="[Measures].[Sum of New Users]" caption="Sum of New Users" measure="1" displayFolder="" measureGroup="Table1" count="0" hidden="1">
      <extLst>
        <ext xmlns:x15="http://schemas.microsoft.com/office/spreadsheetml/2010/11/main" uri="{B97F6D7D-B522-45F9-BDA1-12C45D357490}">
          <x15:cacheHierarchy aggregatedColumn="5"/>
        </ext>
      </extLst>
    </cacheHierarchy>
    <cacheHierarchy uniqueName="[Measures].[Sum of Revenue Per User]" caption="Sum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Per User]" caption="Average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Cost Per Conversion %]" caption="Count of Cost Per Conversion %" measure="1" displayFolder="" measureGroup="Table1" count="0" hidden="1">
      <extLst>
        <ext xmlns:x15="http://schemas.microsoft.com/office/spreadsheetml/2010/11/main" uri="{B97F6D7D-B522-45F9-BDA1-12C45D357490}">
          <x15:cacheHierarchy aggregatedColumn="20"/>
        </ext>
      </extLst>
    </cacheHierarchy>
    <cacheHierarchy uniqueName="[Measures].[Sum of Sessions]" caption="Sum of Sessions" measure="1" displayFolder="" measureGroup="Table1" count="0" hidden="1">
      <extLst>
        <ext xmlns:x15="http://schemas.microsoft.com/office/spreadsheetml/2010/11/main" uri="{B97F6D7D-B522-45F9-BDA1-12C45D357490}">
          <x15:cacheHierarchy aggregatedColumn="7"/>
        </ext>
      </extLst>
    </cacheHierarchy>
    <cacheHierarchy uniqueName="[Measures].[Count of Revenue Per Transactions]" caption="Count of Revenue Per Transactions"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esh Kedar" refreshedDate="45978.844682523151" backgroundQuery="1" createdVersion="8" refreshedVersion="8" minRefreshableVersion="3" recordCount="0" supportSubquery="1" supportAdvancedDrill="1" xr:uid="{382C8161-8742-4940-AE25-2287CC108D25}">
  <cacheSource type="external" connectionId="1"/>
  <cacheFields count="1">
    <cacheField name="[Measures].[Sum of Average Conversion Rate in 2020]" caption="Sum of Average Conversion Rate in 2020" numFmtId="0" hierarchy="36" level="32767"/>
  </cacheFields>
  <cacheHierarchies count="61">
    <cacheHierarchy uniqueName="[Table1].[Source / Medium]" caption="Source / Medium" attribute="1" defaultMemberUniqueName="[Table1].[Source / Medium].[All]" allUniqueName="[Table1].[Source / Medium].[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ate]" caption="Date" attribute="1" time="1" defaultMemberUniqueName="[Table1].[Date].[All]" allUniqueName="[Table1].[Date].[All]" dimensionUniqueName="[Table1]" displayFolder="" count="2" memberValueDatatype="7" unbalanced="0"/>
    <cacheHierarchy uniqueName="[Table1].[Month of the year]" caption="Month of the year" attribute="1" defaultMemberUniqueName="[Table1].[Month of the year].[All]" allUniqueName="[Table1].[Month of the year].[All]" dimensionUniqueName="[Table1]" displayFolder="" count="0" memberValueDatatype="20" unbalanced="0"/>
    <cacheHierarchy uniqueName="[Table1].[Users]" caption="Users" attribute="1" defaultMemberUniqueName="[Table1].[Users].[All]" allUniqueName="[Table1].[Users].[All]" dimensionUniqueName="[Table1]" displayFolder="" count="0" memberValueDatatype="20" unbalanced="0"/>
    <cacheHierarchy uniqueName="[Table1].[New Users]" caption="New Users" attribute="1" defaultMemberUniqueName="[Table1].[New Users].[All]" allUniqueName="[Table1].[New Users].[All]" dimensionUniqueName="[Table1]" displayFolder="" count="0" memberValueDatatype="20" unbalanced="0"/>
    <cacheHierarchy uniqueName="[Table1].[Returning Users]" caption="Returning Users" attribute="1" defaultMemberUniqueName="[Table1].[Returning Users].[All]" allUniqueName="[Table1].[Returning Users].[All]" dimensionUniqueName="[Table1]" displayFolder="" count="0" memberValueDatatype="20" unbalanced="0"/>
    <cacheHierarchy uniqueName="[Table1].[Sessions]" caption="Sessions" attribute="1" defaultMemberUniqueName="[Table1].[Sessions].[All]" allUniqueName="[Table1].[Sessions].[All]" dimensionUniqueName="[Table1]" displayFolder="" count="0" memberValueDatatype="20" unbalanced="0"/>
    <cacheHierarchy uniqueName="[Table1].[Bounce Rate]" caption="Bounce Rate" attribute="1" defaultMemberUniqueName="[Table1].[Bounce Rate].[All]" allUniqueName="[Table1].[Bounce Rate].[All]" dimensionUniqueName="[Table1]" displayFolder="" count="0" memberValueDatatype="5" unbalanced="0"/>
    <cacheHierarchy uniqueName="[Table1].[Pageviews]" caption="Pageviews" attribute="1" defaultMemberUniqueName="[Table1].[Pageviews].[All]" allUniqueName="[Table1].[Pageviews].[All]" dimensionUniqueName="[Table1]" displayFolder="" count="0" memberValueDatatype="20" unbalanced="0"/>
    <cacheHierarchy uniqueName="[Table1].[Avg. Session Duration]" caption="Avg. Session Duration" attribute="1" time="1" defaultMemberUniqueName="[Table1].[Avg. Session Duration].[All]" allUniqueName="[Table1].[Avg. Session Duration].[All]" dimensionUniqueName="[Table1]" displayFolder="" count="0" memberValueDatatype="7" unbalanced="0"/>
    <cacheHierarchy uniqueName="[Table1].[Avg PageViews/Session]" caption="Avg PageViews/Session" attribute="1" time="1" defaultMemberUniqueName="[Table1].[Avg PageViews/Session].[All]" allUniqueName="[Table1].[Avg PageViews/Session].[All]" dimensionUniqueName="[Table1]" displayFolder="" count="0" memberValueDatatype="7"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Transactions]" caption="Transactions" attribute="1" defaultMemberUniqueName="[Table1].[Transactions].[All]" allUniqueName="[Table1].[Transactions].[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ser Retention Rate %]" caption="User Retention Rate %" attribute="1" defaultMemberUniqueName="[Table1].[User Retention Rate %].[All]" allUniqueName="[Table1].[User Retention Rate %].[All]" dimensionUniqueName="[Table1]" displayFolder="" count="0" memberValueDatatype="5" unbalanced="0"/>
    <cacheHierarchy uniqueName="[Table1].[Revenue Per User]" caption="Revenue Per User" attribute="1" defaultMemberUniqueName="[Table1].[Revenue Per User].[All]" allUniqueName="[Table1].[Revenue Per User].[All]" dimensionUniqueName="[Table1]" displayFolder="" count="0" memberValueDatatype="5" unbalanced="0"/>
    <cacheHierarchy uniqueName="[Table1].[Revenue Per Session]" caption="Revenue Per Session" attribute="1" defaultMemberUniqueName="[Table1].[Revenue Per Session].[All]" allUniqueName="[Table1].[Revenue Per Session].[All]" dimensionUniqueName="[Table1]" displayFolder="" count="0" memberValueDatatype="5" unbalanced="0"/>
    <cacheHierarchy uniqueName="[Table1].[Revenue Per Transactions]" caption="Revenue Per Transactions" attribute="1" defaultMemberUniqueName="[Table1].[Revenue Per Transactions].[All]" allUniqueName="[Table1].[Revenue Per Transactions].[All]" dimensionUniqueName="[Table1]" displayFolder="" count="0" memberValueDatatype="130" unbalanced="0"/>
    <cacheHierarchy uniqueName="[Table1].[Cost Per Conversion %]" caption="Cost Per Conversion %" attribute="1" defaultMemberUniqueName="[Table1].[Cost Per Conversion %].[All]" allUniqueName="[Table1].[Cost Per Conversion %].[All]" dimensionUniqueName="[Table1]" displayFolder="" count="0" memberValueDatatype="130" unbalanced="0"/>
    <cacheHierarchy uniqueName="[Table1].[Average Conversion Rate in 2020]" caption="Average Conversion Rate in 2020" attribute="1" defaultMemberUniqueName="[Table1].[Average Conversion Rate in 2020].[All]" allUniqueName="[Table1].[Average Conversion Rate in 2020].[All]" dimensionUniqueName="[Table1]" displayFolder="" count="0" memberValueDatatype="5" unbalanced="0"/>
    <cacheHierarchy uniqueName="[Table1].[Average Conversion rate 2019]" caption="Average Conversion rate 2019" attribute="1" defaultMemberUniqueName="[Table1].[Average Conversion rate 2019].[All]" allUniqueName="[Table1].[Average Conversion rate 2019].[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4].[Average Conversion Rate in 2020]" caption="Average Conversion Rate in 2020" attribute="1" defaultMemberUniqueName="[Table4].[Average Conversion Rate in 2020].[All]" allUniqueName="[Table4].[Average Conversion Rate in 2020].[All]" dimensionUniqueName="[Table4]" displayFolder="" count="0" memberValueDatatype="5" unbalanced="0"/>
    <cacheHierarchy uniqueName="[Table4].[Average Conversion rate 2019]" caption="Average Conversion rate 2019" attribute="1" defaultMemberUniqueName="[Table4].[Average Conversion rate 2019].[All]" allUniqueName="[Table4].[Average Conversion rate 2019].[All]" dimensionUniqueName="[Table4]"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1"/>
        </ext>
      </extLst>
    </cacheHierarchy>
    <cacheHierarchy uniqueName="[Measures].[Sum of Users]" caption="Sum of Users" measure="1" displayFolder="" measureGroup="Table1" count="0" hidden="1">
      <extLst>
        <ext xmlns:x15="http://schemas.microsoft.com/office/spreadsheetml/2010/11/main" uri="{B97F6D7D-B522-45F9-BDA1-12C45D357490}">
          <x15:cacheHierarchy aggregatedColumn="4"/>
        </ext>
      </extLst>
    </cacheHierarchy>
    <cacheHierarchy uniqueName="[Measures].[Average of Users]" caption="Average of Users" measure="1" displayFolder="" measureGroup="Table1" count="0" hidden="1">
      <extLst>
        <ext xmlns:x15="http://schemas.microsoft.com/office/spreadsheetml/2010/11/main" uri="{B97F6D7D-B522-45F9-BDA1-12C45D357490}">
          <x15:cacheHierarchy aggregatedColumn="4"/>
        </ext>
      </extLst>
    </cacheHierarchy>
    <cacheHierarchy uniqueName="[Measures].[Sum of Transactions]" caption="Sum of Transactions" measure="1" displayFolder="" measureGroup="Table1" count="0" hidden="1">
      <extLst>
        <ext xmlns:x15="http://schemas.microsoft.com/office/spreadsheetml/2010/11/main" uri="{B97F6D7D-B522-45F9-BDA1-12C45D357490}">
          <x15:cacheHierarchy aggregatedColumn="13"/>
        </ext>
      </extLst>
    </cacheHierarchy>
    <cacheHierarchy uniqueName="[Measures].[Sum of Average Conversion Rate in 2020]" caption="Sum of Average Conversion Rate in 2020" measure="1" displayFolder="" measureGroup="Table4"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Average Conversion rate 2019]" caption="Sum of Average Conversion rate 2019" measure="1" displayFolder="" measureGroup="Table4" count="0" hidden="1">
      <extLst>
        <ext xmlns:x15="http://schemas.microsoft.com/office/spreadsheetml/2010/11/main" uri="{B97F6D7D-B522-45F9-BDA1-12C45D357490}">
          <x15:cacheHierarchy aggregatedColumn="27"/>
        </ext>
      </extLst>
    </cacheHierarchy>
    <cacheHierarchy uniqueName="[Measures].[Sum of Average Conversion Rate in 2020 2]" caption="Sum of Average Conversion Rate in 2020 2" measure="1" displayFolder="" measureGroup="Table1" count="0" hidden="1">
      <extLst>
        <ext xmlns:x15="http://schemas.microsoft.com/office/spreadsheetml/2010/11/main" uri="{B97F6D7D-B522-45F9-BDA1-12C45D357490}">
          <x15:cacheHierarchy aggregatedColumn="21"/>
        </ext>
      </extLst>
    </cacheHierarchy>
    <cacheHierarchy uniqueName="[Measures].[Sum of Average Conversion rate 2019 2]" caption="Sum of Average Conversion rate 2019 2" measure="1" displayFolder="" measureGroup="Table1"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Bounce Rate]" caption="Sum of Bounce Rate" measure="1" displayFolder="" measureGroup="Table1" count="0" hidden="1">
      <extLst>
        <ext xmlns:x15="http://schemas.microsoft.com/office/spreadsheetml/2010/11/main" uri="{B97F6D7D-B522-45F9-BDA1-12C45D357490}">
          <x15:cacheHierarchy aggregatedColumn="8"/>
        </ext>
      </extLst>
    </cacheHierarchy>
    <cacheHierarchy uniqueName="[Measures].[Average of Bounce Rate]" caption="Average of Bounce Rate" measure="1" displayFolder="" measureGroup="Table1" count="0" hidden="1">
      <extLst>
        <ext xmlns:x15="http://schemas.microsoft.com/office/spreadsheetml/2010/11/main" uri="{B97F6D7D-B522-45F9-BDA1-12C45D357490}">
          <x15:cacheHierarchy aggregatedColumn="8"/>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Revenue Per Session]" caption="Sum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Average of Revenue Per Session]" caption="Average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Max of Conversion Rate (%)]" caption="Max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Pageviews]" caption="Sum of Pageviews" measure="1" displayFolder="" measureGroup="Table1" count="0" hidden="1">
      <extLst>
        <ext xmlns:x15="http://schemas.microsoft.com/office/spreadsheetml/2010/11/main" uri="{B97F6D7D-B522-45F9-BDA1-12C45D357490}">
          <x15:cacheHierarchy aggregatedColumn="9"/>
        </ext>
      </extLst>
    </cacheHierarchy>
    <cacheHierarchy uniqueName="[Measures].[Average of Pageviews]" caption="Average of Pageviews" measure="1" displayFolder="" measureGroup="Table1" count="0" hidden="1">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15"/>
        </ext>
      </extLst>
    </cacheHierarchy>
    <cacheHierarchy uniqueName="[Measures].[Count of Avg. Session Duration]" caption="Count of Avg. Session Duration" measure="1" displayFolder="" measureGroup="Table1" count="0" hidden="1">
      <extLst>
        <ext xmlns:x15="http://schemas.microsoft.com/office/spreadsheetml/2010/11/main" uri="{B97F6D7D-B522-45F9-BDA1-12C45D357490}">
          <x15:cacheHierarchy aggregatedColumn="10"/>
        </ext>
      </extLst>
    </cacheHierarchy>
    <cacheHierarchy uniqueName="[Measures].[Sum of User Retention Rate %]" caption="Sum of User Retention Rate %" measure="1" displayFolder="" measureGroup="Table1" count="0" hidden="1">
      <extLst>
        <ext xmlns:x15="http://schemas.microsoft.com/office/spreadsheetml/2010/11/main" uri="{B97F6D7D-B522-45F9-BDA1-12C45D357490}">
          <x15:cacheHierarchy aggregatedColumn="16"/>
        </ext>
      </extLst>
    </cacheHierarchy>
    <cacheHierarchy uniqueName="[Measures].[Sum of Returning Users]" caption="Sum of Returning Users" measure="1" displayFolder="" measureGroup="Table1" count="0" hidden="1">
      <extLst>
        <ext xmlns:x15="http://schemas.microsoft.com/office/spreadsheetml/2010/11/main" uri="{B97F6D7D-B522-45F9-BDA1-12C45D357490}">
          <x15:cacheHierarchy aggregatedColumn="6"/>
        </ext>
      </extLst>
    </cacheHierarchy>
    <cacheHierarchy uniqueName="[Measures].[Sum of New Users]" caption="Sum of New Users" measure="1" displayFolder="" measureGroup="Table1" count="0" hidden="1">
      <extLst>
        <ext xmlns:x15="http://schemas.microsoft.com/office/spreadsheetml/2010/11/main" uri="{B97F6D7D-B522-45F9-BDA1-12C45D357490}">
          <x15:cacheHierarchy aggregatedColumn="5"/>
        </ext>
      </extLst>
    </cacheHierarchy>
    <cacheHierarchy uniqueName="[Measures].[Sum of Revenue Per User]" caption="Sum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Per User]" caption="Average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Cost Per Conversion %]" caption="Count of Cost Per Conversion %" measure="1" displayFolder="" measureGroup="Table1" count="0" hidden="1">
      <extLst>
        <ext xmlns:x15="http://schemas.microsoft.com/office/spreadsheetml/2010/11/main" uri="{B97F6D7D-B522-45F9-BDA1-12C45D357490}">
          <x15:cacheHierarchy aggregatedColumn="20"/>
        </ext>
      </extLst>
    </cacheHierarchy>
    <cacheHierarchy uniqueName="[Measures].[Sum of Sessions]" caption="Sum of Sessions" measure="1" displayFolder="" measureGroup="Table1" count="0" hidden="1">
      <extLst>
        <ext xmlns:x15="http://schemas.microsoft.com/office/spreadsheetml/2010/11/main" uri="{B97F6D7D-B522-45F9-BDA1-12C45D357490}">
          <x15:cacheHierarchy aggregatedColumn="7"/>
        </ext>
      </extLst>
    </cacheHierarchy>
    <cacheHierarchy uniqueName="[Measures].[Count of Revenue Per Transactions]" caption="Count of Revenue Per Transactions"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esh Kedar" refreshedDate="45978.844682754629" backgroundQuery="1" createdVersion="8" refreshedVersion="8" minRefreshableVersion="3" recordCount="0" supportSubquery="1" supportAdvancedDrill="1" xr:uid="{6B0DED9B-5F96-4559-84D2-417B1C26B77F}">
  <cacheSource type="external" connectionId="1"/>
  <cacheFields count="1">
    <cacheField name="[Measures].[Max of Conversion Rate (%)]" caption="Max of Conversion Rate (%)" numFmtId="0" hierarchy="47" level="32767"/>
  </cacheFields>
  <cacheHierarchies count="61">
    <cacheHierarchy uniqueName="[Table1].[Source / Medium]" caption="Source / Medium" attribute="1" defaultMemberUniqueName="[Table1].[Source / Medium].[All]" allUniqueName="[Table1].[Source / Medium].[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ate]" caption="Date" attribute="1" time="1" defaultMemberUniqueName="[Table1].[Date].[All]" allUniqueName="[Table1].[Date].[All]" dimensionUniqueName="[Table1]" displayFolder="" count="2" memberValueDatatype="7" unbalanced="0"/>
    <cacheHierarchy uniqueName="[Table1].[Month of the year]" caption="Month of the year" attribute="1" defaultMemberUniqueName="[Table1].[Month of the year].[All]" allUniqueName="[Table1].[Month of the year].[All]" dimensionUniqueName="[Table1]" displayFolder="" count="0" memberValueDatatype="20" unbalanced="0"/>
    <cacheHierarchy uniqueName="[Table1].[Users]" caption="Users" attribute="1" defaultMemberUniqueName="[Table1].[Users].[All]" allUniqueName="[Table1].[Users].[All]" dimensionUniqueName="[Table1]" displayFolder="" count="0" memberValueDatatype="20" unbalanced="0"/>
    <cacheHierarchy uniqueName="[Table1].[New Users]" caption="New Users" attribute="1" defaultMemberUniqueName="[Table1].[New Users].[All]" allUniqueName="[Table1].[New Users].[All]" dimensionUniqueName="[Table1]" displayFolder="" count="0" memberValueDatatype="20" unbalanced="0"/>
    <cacheHierarchy uniqueName="[Table1].[Returning Users]" caption="Returning Users" attribute="1" defaultMemberUniqueName="[Table1].[Returning Users].[All]" allUniqueName="[Table1].[Returning Users].[All]" dimensionUniqueName="[Table1]" displayFolder="" count="0" memberValueDatatype="20" unbalanced="0"/>
    <cacheHierarchy uniqueName="[Table1].[Sessions]" caption="Sessions" attribute="1" defaultMemberUniqueName="[Table1].[Sessions].[All]" allUniqueName="[Table1].[Sessions].[All]" dimensionUniqueName="[Table1]" displayFolder="" count="0" memberValueDatatype="20" unbalanced="0"/>
    <cacheHierarchy uniqueName="[Table1].[Bounce Rate]" caption="Bounce Rate" attribute="1" defaultMemberUniqueName="[Table1].[Bounce Rate].[All]" allUniqueName="[Table1].[Bounce Rate].[All]" dimensionUniqueName="[Table1]" displayFolder="" count="0" memberValueDatatype="5" unbalanced="0"/>
    <cacheHierarchy uniqueName="[Table1].[Pageviews]" caption="Pageviews" attribute="1" defaultMemberUniqueName="[Table1].[Pageviews].[All]" allUniqueName="[Table1].[Pageviews].[All]" dimensionUniqueName="[Table1]" displayFolder="" count="0" memberValueDatatype="20" unbalanced="0"/>
    <cacheHierarchy uniqueName="[Table1].[Avg. Session Duration]" caption="Avg. Session Duration" attribute="1" time="1" defaultMemberUniqueName="[Table1].[Avg. Session Duration].[All]" allUniqueName="[Table1].[Avg. Session Duration].[All]" dimensionUniqueName="[Table1]" displayFolder="" count="0" memberValueDatatype="7" unbalanced="0"/>
    <cacheHierarchy uniqueName="[Table1].[Avg PageViews/Session]" caption="Avg PageViews/Session" attribute="1" time="1" defaultMemberUniqueName="[Table1].[Avg PageViews/Session].[All]" allUniqueName="[Table1].[Avg PageViews/Session].[All]" dimensionUniqueName="[Table1]" displayFolder="" count="0" memberValueDatatype="7"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Transactions]" caption="Transactions" attribute="1" defaultMemberUniqueName="[Table1].[Transactions].[All]" allUniqueName="[Table1].[Transactions].[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ser Retention Rate %]" caption="User Retention Rate %" attribute="1" defaultMemberUniqueName="[Table1].[User Retention Rate %].[All]" allUniqueName="[Table1].[User Retention Rate %].[All]" dimensionUniqueName="[Table1]" displayFolder="" count="0" memberValueDatatype="5" unbalanced="0"/>
    <cacheHierarchy uniqueName="[Table1].[Revenue Per User]" caption="Revenue Per User" attribute="1" defaultMemberUniqueName="[Table1].[Revenue Per User].[All]" allUniqueName="[Table1].[Revenue Per User].[All]" dimensionUniqueName="[Table1]" displayFolder="" count="0" memberValueDatatype="5" unbalanced="0"/>
    <cacheHierarchy uniqueName="[Table1].[Revenue Per Session]" caption="Revenue Per Session" attribute="1" defaultMemberUniqueName="[Table1].[Revenue Per Session].[All]" allUniqueName="[Table1].[Revenue Per Session].[All]" dimensionUniqueName="[Table1]" displayFolder="" count="0" memberValueDatatype="5" unbalanced="0"/>
    <cacheHierarchy uniqueName="[Table1].[Revenue Per Transactions]" caption="Revenue Per Transactions" attribute="1" defaultMemberUniqueName="[Table1].[Revenue Per Transactions].[All]" allUniqueName="[Table1].[Revenue Per Transactions].[All]" dimensionUniqueName="[Table1]" displayFolder="" count="0" memberValueDatatype="130" unbalanced="0"/>
    <cacheHierarchy uniqueName="[Table1].[Cost Per Conversion %]" caption="Cost Per Conversion %" attribute="1" defaultMemberUniqueName="[Table1].[Cost Per Conversion %].[All]" allUniqueName="[Table1].[Cost Per Conversion %].[All]" dimensionUniqueName="[Table1]" displayFolder="" count="0" memberValueDatatype="130" unbalanced="0"/>
    <cacheHierarchy uniqueName="[Table1].[Average Conversion Rate in 2020]" caption="Average Conversion Rate in 2020" attribute="1" defaultMemberUniqueName="[Table1].[Average Conversion Rate in 2020].[All]" allUniqueName="[Table1].[Average Conversion Rate in 2020].[All]" dimensionUniqueName="[Table1]" displayFolder="" count="0" memberValueDatatype="5" unbalanced="0"/>
    <cacheHierarchy uniqueName="[Table1].[Average Conversion rate 2019]" caption="Average Conversion rate 2019" attribute="1" defaultMemberUniqueName="[Table1].[Average Conversion rate 2019].[All]" allUniqueName="[Table1].[Average Conversion rate 2019].[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4].[Average Conversion Rate in 2020]" caption="Average Conversion Rate in 2020" attribute="1" defaultMemberUniqueName="[Table4].[Average Conversion Rate in 2020].[All]" allUniqueName="[Table4].[Average Conversion Rate in 2020].[All]" dimensionUniqueName="[Table4]" displayFolder="" count="0" memberValueDatatype="5" unbalanced="0"/>
    <cacheHierarchy uniqueName="[Table4].[Average Conversion rate 2019]" caption="Average Conversion rate 2019" attribute="1" defaultMemberUniqueName="[Table4].[Average Conversion rate 2019].[All]" allUniqueName="[Table4].[Average Conversion rate 2019].[All]" dimensionUniqueName="[Table4]"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1"/>
        </ext>
      </extLst>
    </cacheHierarchy>
    <cacheHierarchy uniqueName="[Measures].[Sum of Users]" caption="Sum of Users" measure="1" displayFolder="" measureGroup="Table1" count="0" hidden="1">
      <extLst>
        <ext xmlns:x15="http://schemas.microsoft.com/office/spreadsheetml/2010/11/main" uri="{B97F6D7D-B522-45F9-BDA1-12C45D357490}">
          <x15:cacheHierarchy aggregatedColumn="4"/>
        </ext>
      </extLst>
    </cacheHierarchy>
    <cacheHierarchy uniqueName="[Measures].[Average of Users]" caption="Average of Users" measure="1" displayFolder="" measureGroup="Table1" count="0" hidden="1">
      <extLst>
        <ext xmlns:x15="http://schemas.microsoft.com/office/spreadsheetml/2010/11/main" uri="{B97F6D7D-B522-45F9-BDA1-12C45D357490}">
          <x15:cacheHierarchy aggregatedColumn="4"/>
        </ext>
      </extLst>
    </cacheHierarchy>
    <cacheHierarchy uniqueName="[Measures].[Sum of Transactions]" caption="Sum of Transactions" measure="1" displayFolder="" measureGroup="Table1" count="0" hidden="1">
      <extLst>
        <ext xmlns:x15="http://schemas.microsoft.com/office/spreadsheetml/2010/11/main" uri="{B97F6D7D-B522-45F9-BDA1-12C45D357490}">
          <x15:cacheHierarchy aggregatedColumn="13"/>
        </ext>
      </extLst>
    </cacheHierarchy>
    <cacheHierarchy uniqueName="[Measures].[Sum of Average Conversion Rate in 2020]" caption="Sum of Average Conversion Rate in 2020" measure="1" displayFolder="" measureGroup="Table4" count="0" hidden="1">
      <extLst>
        <ext xmlns:x15="http://schemas.microsoft.com/office/spreadsheetml/2010/11/main" uri="{B97F6D7D-B522-45F9-BDA1-12C45D357490}">
          <x15:cacheHierarchy aggregatedColumn="26"/>
        </ext>
      </extLst>
    </cacheHierarchy>
    <cacheHierarchy uniqueName="[Measures].[Sum of Average Conversion rate 2019]" caption="Sum of Average Conversion rate 2019" measure="1" displayFolder="" measureGroup="Table4" count="0" hidden="1">
      <extLst>
        <ext xmlns:x15="http://schemas.microsoft.com/office/spreadsheetml/2010/11/main" uri="{B97F6D7D-B522-45F9-BDA1-12C45D357490}">
          <x15:cacheHierarchy aggregatedColumn="27"/>
        </ext>
      </extLst>
    </cacheHierarchy>
    <cacheHierarchy uniqueName="[Measures].[Sum of Average Conversion Rate in 2020 2]" caption="Sum of Average Conversion Rate in 2020 2" measure="1" displayFolder="" measureGroup="Table1" count="0" hidden="1">
      <extLst>
        <ext xmlns:x15="http://schemas.microsoft.com/office/spreadsheetml/2010/11/main" uri="{B97F6D7D-B522-45F9-BDA1-12C45D357490}">
          <x15:cacheHierarchy aggregatedColumn="21"/>
        </ext>
      </extLst>
    </cacheHierarchy>
    <cacheHierarchy uniqueName="[Measures].[Sum of Average Conversion rate 2019 2]" caption="Sum of Average Conversion rate 2019 2" measure="1" displayFolder="" measureGroup="Table1"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Bounce Rate]" caption="Sum of Bounce Rate" measure="1" displayFolder="" measureGroup="Table1" count="0" hidden="1">
      <extLst>
        <ext xmlns:x15="http://schemas.microsoft.com/office/spreadsheetml/2010/11/main" uri="{B97F6D7D-B522-45F9-BDA1-12C45D357490}">
          <x15:cacheHierarchy aggregatedColumn="8"/>
        </ext>
      </extLst>
    </cacheHierarchy>
    <cacheHierarchy uniqueName="[Measures].[Average of Bounce Rate]" caption="Average of Bounce Rate" measure="1" displayFolder="" measureGroup="Table1" count="0" hidden="1">
      <extLst>
        <ext xmlns:x15="http://schemas.microsoft.com/office/spreadsheetml/2010/11/main" uri="{B97F6D7D-B522-45F9-BDA1-12C45D357490}">
          <x15:cacheHierarchy aggregatedColumn="8"/>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Revenue Per Session]" caption="Sum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Average of Revenue Per Session]" caption="Average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Max of Conversion Rate (%)]" caption="Max of Conversion Rate (%)"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Pageviews]" caption="Sum of Pageviews" measure="1" displayFolder="" measureGroup="Table1" count="0" hidden="1">
      <extLst>
        <ext xmlns:x15="http://schemas.microsoft.com/office/spreadsheetml/2010/11/main" uri="{B97F6D7D-B522-45F9-BDA1-12C45D357490}">
          <x15:cacheHierarchy aggregatedColumn="9"/>
        </ext>
      </extLst>
    </cacheHierarchy>
    <cacheHierarchy uniqueName="[Measures].[Average of Pageviews]" caption="Average of Pageviews" measure="1" displayFolder="" measureGroup="Table1" count="0" hidden="1">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15"/>
        </ext>
      </extLst>
    </cacheHierarchy>
    <cacheHierarchy uniqueName="[Measures].[Count of Avg. Session Duration]" caption="Count of Avg. Session Duration" measure="1" displayFolder="" measureGroup="Table1" count="0" hidden="1">
      <extLst>
        <ext xmlns:x15="http://schemas.microsoft.com/office/spreadsheetml/2010/11/main" uri="{B97F6D7D-B522-45F9-BDA1-12C45D357490}">
          <x15:cacheHierarchy aggregatedColumn="10"/>
        </ext>
      </extLst>
    </cacheHierarchy>
    <cacheHierarchy uniqueName="[Measures].[Sum of User Retention Rate %]" caption="Sum of User Retention Rate %" measure="1" displayFolder="" measureGroup="Table1" count="0" hidden="1">
      <extLst>
        <ext xmlns:x15="http://schemas.microsoft.com/office/spreadsheetml/2010/11/main" uri="{B97F6D7D-B522-45F9-BDA1-12C45D357490}">
          <x15:cacheHierarchy aggregatedColumn="16"/>
        </ext>
      </extLst>
    </cacheHierarchy>
    <cacheHierarchy uniqueName="[Measures].[Sum of Returning Users]" caption="Sum of Returning Users" measure="1" displayFolder="" measureGroup="Table1" count="0" hidden="1">
      <extLst>
        <ext xmlns:x15="http://schemas.microsoft.com/office/spreadsheetml/2010/11/main" uri="{B97F6D7D-B522-45F9-BDA1-12C45D357490}">
          <x15:cacheHierarchy aggregatedColumn="6"/>
        </ext>
      </extLst>
    </cacheHierarchy>
    <cacheHierarchy uniqueName="[Measures].[Sum of New Users]" caption="Sum of New Users" measure="1" displayFolder="" measureGroup="Table1" count="0" hidden="1">
      <extLst>
        <ext xmlns:x15="http://schemas.microsoft.com/office/spreadsheetml/2010/11/main" uri="{B97F6D7D-B522-45F9-BDA1-12C45D357490}">
          <x15:cacheHierarchy aggregatedColumn="5"/>
        </ext>
      </extLst>
    </cacheHierarchy>
    <cacheHierarchy uniqueName="[Measures].[Sum of Revenue Per User]" caption="Sum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Per User]" caption="Average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Cost Per Conversion %]" caption="Count of Cost Per Conversion %" measure="1" displayFolder="" measureGroup="Table1" count="0" hidden="1">
      <extLst>
        <ext xmlns:x15="http://schemas.microsoft.com/office/spreadsheetml/2010/11/main" uri="{B97F6D7D-B522-45F9-BDA1-12C45D357490}">
          <x15:cacheHierarchy aggregatedColumn="20"/>
        </ext>
      </extLst>
    </cacheHierarchy>
    <cacheHierarchy uniqueName="[Measures].[Sum of Sessions]" caption="Sum of Sessions" measure="1" displayFolder="" measureGroup="Table1" count="0" hidden="1">
      <extLst>
        <ext xmlns:x15="http://schemas.microsoft.com/office/spreadsheetml/2010/11/main" uri="{B97F6D7D-B522-45F9-BDA1-12C45D357490}">
          <x15:cacheHierarchy aggregatedColumn="7"/>
        </ext>
      </extLst>
    </cacheHierarchy>
    <cacheHierarchy uniqueName="[Measures].[Count of Revenue Per Transactions]" caption="Count of Revenue Per Transactions"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esh Kedar" refreshedDate="45978.844683217591" backgroundQuery="1" createdVersion="8" refreshedVersion="8" minRefreshableVersion="3" recordCount="0" supportSubquery="1" supportAdvancedDrill="1" xr:uid="{8F538551-9F02-4DA0-83FC-1BA3B21F5A1F}">
  <cacheSource type="external" connectionId="1"/>
  <cacheFields count="3">
    <cacheField name="[Measures].[Sum of Bounce Rate]" caption="Sum of Bounce Rate" numFmtId="0" hierarchy="41" level="32767"/>
    <cacheField name="[Measures].[Sum of Conversion Rate (%)]" caption="Sum of Conversion Rate (%)" numFmtId="0" hierarchy="43" level="32767"/>
    <cacheField name="[Table1].[Date (Month)].[Date (Month)]" caption="Date (Month)" numFmtId="0" hierarchy="25" level="1">
      <sharedItems count="12">
        <s v="Jan"/>
        <s v="Feb"/>
        <s v="Mar"/>
        <s v="Apr"/>
        <s v="May"/>
        <s v="Jun"/>
        <s v="Jul"/>
        <s v="Aug"/>
        <s v="Sep"/>
        <s v="Oct"/>
        <s v="Nov"/>
        <s v="Dec"/>
      </sharedItems>
    </cacheField>
  </cacheFields>
  <cacheHierarchies count="61">
    <cacheHierarchy uniqueName="[Table1].[Source / Medium]" caption="Source / Medium" attribute="1" defaultMemberUniqueName="[Table1].[Source / Medium].[All]" allUniqueName="[Table1].[Source / Medium].[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ate]" caption="Date" attribute="1" time="1" defaultMemberUniqueName="[Table1].[Date].[All]" allUniqueName="[Table1].[Date].[All]" dimensionUniqueName="[Table1]" displayFolder="" count="2" memberValueDatatype="7" unbalanced="0"/>
    <cacheHierarchy uniqueName="[Table1].[Month of the year]" caption="Month of the year" attribute="1" defaultMemberUniqueName="[Table1].[Month of the year].[All]" allUniqueName="[Table1].[Month of the year].[All]" dimensionUniqueName="[Table1]" displayFolder="" count="0" memberValueDatatype="20" unbalanced="0"/>
    <cacheHierarchy uniqueName="[Table1].[Users]" caption="Users" attribute="1" defaultMemberUniqueName="[Table1].[Users].[All]" allUniqueName="[Table1].[Users].[All]" dimensionUniqueName="[Table1]" displayFolder="" count="0" memberValueDatatype="20" unbalanced="0"/>
    <cacheHierarchy uniqueName="[Table1].[New Users]" caption="New Users" attribute="1" defaultMemberUniqueName="[Table1].[New Users].[All]" allUniqueName="[Table1].[New Users].[All]" dimensionUniqueName="[Table1]" displayFolder="" count="0" memberValueDatatype="20" unbalanced="0"/>
    <cacheHierarchy uniqueName="[Table1].[Returning Users]" caption="Returning Users" attribute="1" defaultMemberUniqueName="[Table1].[Returning Users].[All]" allUniqueName="[Table1].[Returning Users].[All]" dimensionUniqueName="[Table1]" displayFolder="" count="0" memberValueDatatype="20" unbalanced="0"/>
    <cacheHierarchy uniqueName="[Table1].[Sessions]" caption="Sessions" attribute="1" defaultMemberUniqueName="[Table1].[Sessions].[All]" allUniqueName="[Table1].[Sessions].[All]" dimensionUniqueName="[Table1]" displayFolder="" count="0" memberValueDatatype="20" unbalanced="0"/>
    <cacheHierarchy uniqueName="[Table1].[Bounce Rate]" caption="Bounce Rate" attribute="1" defaultMemberUniqueName="[Table1].[Bounce Rate].[All]" allUniqueName="[Table1].[Bounce Rate].[All]" dimensionUniqueName="[Table1]" displayFolder="" count="0" memberValueDatatype="5" unbalanced="0"/>
    <cacheHierarchy uniqueName="[Table1].[Pageviews]" caption="Pageviews" attribute="1" defaultMemberUniqueName="[Table1].[Pageviews].[All]" allUniqueName="[Table1].[Pageviews].[All]" dimensionUniqueName="[Table1]" displayFolder="" count="0" memberValueDatatype="20" unbalanced="0"/>
    <cacheHierarchy uniqueName="[Table1].[Avg. Session Duration]" caption="Avg. Session Duration" attribute="1" time="1" defaultMemberUniqueName="[Table1].[Avg. Session Duration].[All]" allUniqueName="[Table1].[Avg. Session Duration].[All]" dimensionUniqueName="[Table1]" displayFolder="" count="0" memberValueDatatype="7" unbalanced="0"/>
    <cacheHierarchy uniqueName="[Table1].[Avg PageViews/Session]" caption="Avg PageViews/Session" attribute="1" time="1" defaultMemberUniqueName="[Table1].[Avg PageViews/Session].[All]" allUniqueName="[Table1].[Avg PageViews/Session].[All]" dimensionUniqueName="[Table1]" displayFolder="" count="0" memberValueDatatype="7"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Transactions]" caption="Transactions" attribute="1" defaultMemberUniqueName="[Table1].[Transactions].[All]" allUniqueName="[Table1].[Transactions].[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ser Retention Rate %]" caption="User Retention Rate %" attribute="1" defaultMemberUniqueName="[Table1].[User Retention Rate %].[All]" allUniqueName="[Table1].[User Retention Rate %].[All]" dimensionUniqueName="[Table1]" displayFolder="" count="0" memberValueDatatype="5" unbalanced="0"/>
    <cacheHierarchy uniqueName="[Table1].[Revenue Per User]" caption="Revenue Per User" attribute="1" defaultMemberUniqueName="[Table1].[Revenue Per User].[All]" allUniqueName="[Table1].[Revenue Per User].[All]" dimensionUniqueName="[Table1]" displayFolder="" count="0" memberValueDatatype="5" unbalanced="0"/>
    <cacheHierarchy uniqueName="[Table1].[Revenue Per Session]" caption="Revenue Per Session" attribute="1" defaultMemberUniqueName="[Table1].[Revenue Per Session].[All]" allUniqueName="[Table1].[Revenue Per Session].[All]" dimensionUniqueName="[Table1]" displayFolder="" count="0" memberValueDatatype="5" unbalanced="0"/>
    <cacheHierarchy uniqueName="[Table1].[Revenue Per Transactions]" caption="Revenue Per Transactions" attribute="1" defaultMemberUniqueName="[Table1].[Revenue Per Transactions].[All]" allUniqueName="[Table1].[Revenue Per Transactions].[All]" dimensionUniqueName="[Table1]" displayFolder="" count="0" memberValueDatatype="130" unbalanced="0"/>
    <cacheHierarchy uniqueName="[Table1].[Cost Per Conversion %]" caption="Cost Per Conversion %" attribute="1" defaultMemberUniqueName="[Table1].[Cost Per Conversion %].[All]" allUniqueName="[Table1].[Cost Per Conversion %].[All]" dimensionUniqueName="[Table1]" displayFolder="" count="0" memberValueDatatype="130" unbalanced="0"/>
    <cacheHierarchy uniqueName="[Table1].[Average Conversion Rate in 2020]" caption="Average Conversion Rate in 2020" attribute="1" defaultMemberUniqueName="[Table1].[Average Conversion Rate in 2020].[All]" allUniqueName="[Table1].[Average Conversion Rate in 2020].[All]" dimensionUniqueName="[Table1]" displayFolder="" count="0" memberValueDatatype="5" unbalanced="0"/>
    <cacheHierarchy uniqueName="[Table1].[Average Conversion rate 2019]" caption="Average Conversion rate 2019" attribute="1" defaultMemberUniqueName="[Table1].[Average Conversion rate 2019].[All]" allUniqueName="[Table1].[Average Conversion rate 2019].[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2"/>
      </fieldsUsage>
    </cacheHierarchy>
    <cacheHierarchy uniqueName="[Table4].[Average Conversion Rate in 2020]" caption="Average Conversion Rate in 2020" attribute="1" defaultMemberUniqueName="[Table4].[Average Conversion Rate in 2020].[All]" allUniqueName="[Table4].[Average Conversion Rate in 2020].[All]" dimensionUniqueName="[Table4]" displayFolder="" count="0" memberValueDatatype="5" unbalanced="0"/>
    <cacheHierarchy uniqueName="[Table4].[Average Conversion rate 2019]" caption="Average Conversion rate 2019" attribute="1" defaultMemberUniqueName="[Table4].[Average Conversion rate 2019].[All]" allUniqueName="[Table4].[Average Conversion rate 2019].[All]" dimensionUniqueName="[Table4]"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1"/>
        </ext>
      </extLst>
    </cacheHierarchy>
    <cacheHierarchy uniqueName="[Measures].[Sum of Users]" caption="Sum of Users" measure="1" displayFolder="" measureGroup="Table1" count="0" hidden="1">
      <extLst>
        <ext xmlns:x15="http://schemas.microsoft.com/office/spreadsheetml/2010/11/main" uri="{B97F6D7D-B522-45F9-BDA1-12C45D357490}">
          <x15:cacheHierarchy aggregatedColumn="4"/>
        </ext>
      </extLst>
    </cacheHierarchy>
    <cacheHierarchy uniqueName="[Measures].[Average of Users]" caption="Average of Users" measure="1" displayFolder="" measureGroup="Table1" count="0" hidden="1">
      <extLst>
        <ext xmlns:x15="http://schemas.microsoft.com/office/spreadsheetml/2010/11/main" uri="{B97F6D7D-B522-45F9-BDA1-12C45D357490}">
          <x15:cacheHierarchy aggregatedColumn="4"/>
        </ext>
      </extLst>
    </cacheHierarchy>
    <cacheHierarchy uniqueName="[Measures].[Sum of Transactions]" caption="Sum of Transactions" measure="1" displayFolder="" measureGroup="Table1" count="0" hidden="1">
      <extLst>
        <ext xmlns:x15="http://schemas.microsoft.com/office/spreadsheetml/2010/11/main" uri="{B97F6D7D-B522-45F9-BDA1-12C45D357490}">
          <x15:cacheHierarchy aggregatedColumn="13"/>
        </ext>
      </extLst>
    </cacheHierarchy>
    <cacheHierarchy uniqueName="[Measures].[Sum of Average Conversion Rate in 2020]" caption="Sum of Average Conversion Rate in 2020" measure="1" displayFolder="" measureGroup="Table4" count="0" hidden="1">
      <extLst>
        <ext xmlns:x15="http://schemas.microsoft.com/office/spreadsheetml/2010/11/main" uri="{B97F6D7D-B522-45F9-BDA1-12C45D357490}">
          <x15:cacheHierarchy aggregatedColumn="26"/>
        </ext>
      </extLst>
    </cacheHierarchy>
    <cacheHierarchy uniqueName="[Measures].[Sum of Average Conversion rate 2019]" caption="Sum of Average Conversion rate 2019" measure="1" displayFolder="" measureGroup="Table4" count="0" hidden="1">
      <extLst>
        <ext xmlns:x15="http://schemas.microsoft.com/office/spreadsheetml/2010/11/main" uri="{B97F6D7D-B522-45F9-BDA1-12C45D357490}">
          <x15:cacheHierarchy aggregatedColumn="27"/>
        </ext>
      </extLst>
    </cacheHierarchy>
    <cacheHierarchy uniqueName="[Measures].[Sum of Average Conversion Rate in 2020 2]" caption="Sum of Average Conversion Rate in 2020 2" measure="1" displayFolder="" measureGroup="Table1" count="0" hidden="1">
      <extLst>
        <ext xmlns:x15="http://schemas.microsoft.com/office/spreadsheetml/2010/11/main" uri="{B97F6D7D-B522-45F9-BDA1-12C45D357490}">
          <x15:cacheHierarchy aggregatedColumn="21"/>
        </ext>
      </extLst>
    </cacheHierarchy>
    <cacheHierarchy uniqueName="[Measures].[Sum of Average Conversion rate 2019 2]" caption="Sum of Average Conversion rate 2019 2" measure="1" displayFolder="" measureGroup="Table1"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Bounce Rate]" caption="Sum of Bounce Rate"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Average of Bounce Rate]" caption="Average of Bounce Rate" measure="1" displayFolder="" measureGroup="Table1" count="0" hidden="1">
      <extLst>
        <ext xmlns:x15="http://schemas.microsoft.com/office/spreadsheetml/2010/11/main" uri="{B97F6D7D-B522-45F9-BDA1-12C45D357490}">
          <x15:cacheHierarchy aggregatedColumn="8"/>
        </ext>
      </extLst>
    </cacheHierarchy>
    <cacheHierarchy uniqueName="[Measures].[Sum of Conversion Rate (%)]" caption="Sum of Conversion Rate (%)"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Revenue Per Session]" caption="Sum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Average of Revenue Per Session]" caption="Average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Max of Conversion Rate (%)]" caption="Max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Pageviews]" caption="Sum of Pageviews" measure="1" displayFolder="" measureGroup="Table1" count="0" hidden="1">
      <extLst>
        <ext xmlns:x15="http://schemas.microsoft.com/office/spreadsheetml/2010/11/main" uri="{B97F6D7D-B522-45F9-BDA1-12C45D357490}">
          <x15:cacheHierarchy aggregatedColumn="9"/>
        </ext>
      </extLst>
    </cacheHierarchy>
    <cacheHierarchy uniqueName="[Measures].[Average of Pageviews]" caption="Average of Pageviews" measure="1" displayFolder="" measureGroup="Table1" count="0" hidden="1">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15"/>
        </ext>
      </extLst>
    </cacheHierarchy>
    <cacheHierarchy uniqueName="[Measures].[Count of Avg. Session Duration]" caption="Count of Avg. Session Duration" measure="1" displayFolder="" measureGroup="Table1" count="0" hidden="1">
      <extLst>
        <ext xmlns:x15="http://schemas.microsoft.com/office/spreadsheetml/2010/11/main" uri="{B97F6D7D-B522-45F9-BDA1-12C45D357490}">
          <x15:cacheHierarchy aggregatedColumn="10"/>
        </ext>
      </extLst>
    </cacheHierarchy>
    <cacheHierarchy uniqueName="[Measures].[Sum of User Retention Rate %]" caption="Sum of User Retention Rate %" measure="1" displayFolder="" measureGroup="Table1" count="0" hidden="1">
      <extLst>
        <ext xmlns:x15="http://schemas.microsoft.com/office/spreadsheetml/2010/11/main" uri="{B97F6D7D-B522-45F9-BDA1-12C45D357490}">
          <x15:cacheHierarchy aggregatedColumn="16"/>
        </ext>
      </extLst>
    </cacheHierarchy>
    <cacheHierarchy uniqueName="[Measures].[Sum of Returning Users]" caption="Sum of Returning Users" measure="1" displayFolder="" measureGroup="Table1" count="0" hidden="1">
      <extLst>
        <ext xmlns:x15="http://schemas.microsoft.com/office/spreadsheetml/2010/11/main" uri="{B97F6D7D-B522-45F9-BDA1-12C45D357490}">
          <x15:cacheHierarchy aggregatedColumn="6"/>
        </ext>
      </extLst>
    </cacheHierarchy>
    <cacheHierarchy uniqueName="[Measures].[Sum of New Users]" caption="Sum of New Users" measure="1" displayFolder="" measureGroup="Table1" count="0" hidden="1">
      <extLst>
        <ext xmlns:x15="http://schemas.microsoft.com/office/spreadsheetml/2010/11/main" uri="{B97F6D7D-B522-45F9-BDA1-12C45D357490}">
          <x15:cacheHierarchy aggregatedColumn="5"/>
        </ext>
      </extLst>
    </cacheHierarchy>
    <cacheHierarchy uniqueName="[Measures].[Sum of Revenue Per User]" caption="Sum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Per User]" caption="Average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Cost Per Conversion %]" caption="Count of Cost Per Conversion %" measure="1" displayFolder="" measureGroup="Table1" count="0" hidden="1">
      <extLst>
        <ext xmlns:x15="http://schemas.microsoft.com/office/spreadsheetml/2010/11/main" uri="{B97F6D7D-B522-45F9-BDA1-12C45D357490}">
          <x15:cacheHierarchy aggregatedColumn="20"/>
        </ext>
      </extLst>
    </cacheHierarchy>
    <cacheHierarchy uniqueName="[Measures].[Sum of Sessions]" caption="Sum of Sessions" measure="1" displayFolder="" measureGroup="Table1" count="0" hidden="1">
      <extLst>
        <ext xmlns:x15="http://schemas.microsoft.com/office/spreadsheetml/2010/11/main" uri="{B97F6D7D-B522-45F9-BDA1-12C45D357490}">
          <x15:cacheHierarchy aggregatedColumn="7"/>
        </ext>
      </extLst>
    </cacheHierarchy>
    <cacheHierarchy uniqueName="[Measures].[Count of Revenue Per Transactions]" caption="Count of Revenue Per Transactions"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esh Kedar" refreshedDate="45978.844683564814" backgroundQuery="1" createdVersion="8" refreshedVersion="8" minRefreshableVersion="3" recordCount="0" supportSubquery="1" supportAdvancedDrill="1" xr:uid="{C63D7D2C-808F-456D-B9AB-3C51844E0D0F}">
  <cacheSource type="external" connectionId="1"/>
  <cacheFields count="2">
    <cacheField name="[Table1].[Date (Month)].[Date (Month)]" caption="Date (Month)" numFmtId="0" hierarchy="25" level="1">
      <sharedItems count="12">
        <s v="Jan"/>
        <s v="Feb"/>
        <s v="Mar"/>
        <s v="Apr"/>
        <s v="May"/>
        <s v="Jun"/>
        <s v="Jul"/>
        <s v="Aug"/>
        <s v="Sep"/>
        <s v="Oct"/>
        <s v="Nov"/>
        <s v="Dec"/>
      </sharedItems>
    </cacheField>
    <cacheField name="[Measures].[Average of Pageviews]" caption="Average of Pageviews" numFmtId="0" hierarchy="49" level="32767"/>
  </cacheFields>
  <cacheHierarchies count="61">
    <cacheHierarchy uniqueName="[Table1].[Source / Medium]" caption="Source / Medium" attribute="1" defaultMemberUniqueName="[Table1].[Source / Medium].[All]" allUniqueName="[Table1].[Source / Medium].[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ate]" caption="Date" attribute="1" time="1" defaultMemberUniqueName="[Table1].[Date].[All]" allUniqueName="[Table1].[Date].[All]" dimensionUniqueName="[Table1]" displayFolder="" count="2" memberValueDatatype="7" unbalanced="0"/>
    <cacheHierarchy uniqueName="[Table1].[Month of the year]" caption="Month of the year" attribute="1" defaultMemberUniqueName="[Table1].[Month of the year].[All]" allUniqueName="[Table1].[Month of the year].[All]" dimensionUniqueName="[Table1]" displayFolder="" count="0" memberValueDatatype="20" unbalanced="0"/>
    <cacheHierarchy uniqueName="[Table1].[Users]" caption="Users" attribute="1" defaultMemberUniqueName="[Table1].[Users].[All]" allUniqueName="[Table1].[Users].[All]" dimensionUniqueName="[Table1]" displayFolder="" count="0" memberValueDatatype="20" unbalanced="0"/>
    <cacheHierarchy uniqueName="[Table1].[New Users]" caption="New Users" attribute="1" defaultMemberUniqueName="[Table1].[New Users].[All]" allUniqueName="[Table1].[New Users].[All]" dimensionUniqueName="[Table1]" displayFolder="" count="0" memberValueDatatype="20" unbalanced="0"/>
    <cacheHierarchy uniqueName="[Table1].[Returning Users]" caption="Returning Users" attribute="1" defaultMemberUniqueName="[Table1].[Returning Users].[All]" allUniqueName="[Table1].[Returning Users].[All]" dimensionUniqueName="[Table1]" displayFolder="" count="0" memberValueDatatype="20" unbalanced="0"/>
    <cacheHierarchy uniqueName="[Table1].[Sessions]" caption="Sessions" attribute="1" defaultMemberUniqueName="[Table1].[Sessions].[All]" allUniqueName="[Table1].[Sessions].[All]" dimensionUniqueName="[Table1]" displayFolder="" count="0" memberValueDatatype="20" unbalanced="0"/>
    <cacheHierarchy uniqueName="[Table1].[Bounce Rate]" caption="Bounce Rate" attribute="1" defaultMemberUniqueName="[Table1].[Bounce Rate].[All]" allUniqueName="[Table1].[Bounce Rate].[All]" dimensionUniqueName="[Table1]" displayFolder="" count="0" memberValueDatatype="5" unbalanced="0"/>
    <cacheHierarchy uniqueName="[Table1].[Pageviews]" caption="Pageviews" attribute="1" defaultMemberUniqueName="[Table1].[Pageviews].[All]" allUniqueName="[Table1].[Pageviews].[All]" dimensionUniqueName="[Table1]" displayFolder="" count="0" memberValueDatatype="20" unbalanced="0"/>
    <cacheHierarchy uniqueName="[Table1].[Avg. Session Duration]" caption="Avg. Session Duration" attribute="1" time="1" defaultMemberUniqueName="[Table1].[Avg. Session Duration].[All]" allUniqueName="[Table1].[Avg. Session Duration].[All]" dimensionUniqueName="[Table1]" displayFolder="" count="0" memberValueDatatype="7" unbalanced="0"/>
    <cacheHierarchy uniqueName="[Table1].[Avg PageViews/Session]" caption="Avg PageViews/Session" attribute="1" time="1" defaultMemberUniqueName="[Table1].[Avg PageViews/Session].[All]" allUniqueName="[Table1].[Avg PageViews/Session].[All]" dimensionUniqueName="[Table1]" displayFolder="" count="0" memberValueDatatype="7"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Transactions]" caption="Transactions" attribute="1" defaultMemberUniqueName="[Table1].[Transactions].[All]" allUniqueName="[Table1].[Transactions].[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ser Retention Rate %]" caption="User Retention Rate %" attribute="1" defaultMemberUniqueName="[Table1].[User Retention Rate %].[All]" allUniqueName="[Table1].[User Retention Rate %].[All]" dimensionUniqueName="[Table1]" displayFolder="" count="0" memberValueDatatype="5" unbalanced="0"/>
    <cacheHierarchy uniqueName="[Table1].[Revenue Per User]" caption="Revenue Per User" attribute="1" defaultMemberUniqueName="[Table1].[Revenue Per User].[All]" allUniqueName="[Table1].[Revenue Per User].[All]" dimensionUniqueName="[Table1]" displayFolder="" count="0" memberValueDatatype="5" unbalanced="0"/>
    <cacheHierarchy uniqueName="[Table1].[Revenue Per Session]" caption="Revenue Per Session" attribute="1" defaultMemberUniqueName="[Table1].[Revenue Per Session].[All]" allUniqueName="[Table1].[Revenue Per Session].[All]" dimensionUniqueName="[Table1]" displayFolder="" count="0" memberValueDatatype="5" unbalanced="0"/>
    <cacheHierarchy uniqueName="[Table1].[Revenue Per Transactions]" caption="Revenue Per Transactions" attribute="1" defaultMemberUniqueName="[Table1].[Revenue Per Transactions].[All]" allUniqueName="[Table1].[Revenue Per Transactions].[All]" dimensionUniqueName="[Table1]" displayFolder="" count="0" memberValueDatatype="130" unbalanced="0"/>
    <cacheHierarchy uniqueName="[Table1].[Cost Per Conversion %]" caption="Cost Per Conversion %" attribute="1" defaultMemberUniqueName="[Table1].[Cost Per Conversion %].[All]" allUniqueName="[Table1].[Cost Per Conversion %].[All]" dimensionUniqueName="[Table1]" displayFolder="" count="0" memberValueDatatype="130" unbalanced="0"/>
    <cacheHierarchy uniqueName="[Table1].[Average Conversion Rate in 2020]" caption="Average Conversion Rate in 2020" attribute="1" defaultMemberUniqueName="[Table1].[Average Conversion Rate in 2020].[All]" allUniqueName="[Table1].[Average Conversion Rate in 2020].[All]" dimensionUniqueName="[Table1]" displayFolder="" count="0" memberValueDatatype="5" unbalanced="0"/>
    <cacheHierarchy uniqueName="[Table1].[Average Conversion rate 2019]" caption="Average Conversion rate 2019" attribute="1" defaultMemberUniqueName="[Table1].[Average Conversion rate 2019].[All]" allUniqueName="[Table1].[Average Conversion rate 2019].[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0"/>
      </fieldsUsage>
    </cacheHierarchy>
    <cacheHierarchy uniqueName="[Table4].[Average Conversion Rate in 2020]" caption="Average Conversion Rate in 2020" attribute="1" defaultMemberUniqueName="[Table4].[Average Conversion Rate in 2020].[All]" allUniqueName="[Table4].[Average Conversion Rate in 2020].[All]" dimensionUniqueName="[Table4]" displayFolder="" count="0" memberValueDatatype="5" unbalanced="0"/>
    <cacheHierarchy uniqueName="[Table4].[Average Conversion rate 2019]" caption="Average Conversion rate 2019" attribute="1" defaultMemberUniqueName="[Table4].[Average Conversion rate 2019].[All]" allUniqueName="[Table4].[Average Conversion rate 2019].[All]" dimensionUniqueName="[Table4]"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1"/>
        </ext>
      </extLst>
    </cacheHierarchy>
    <cacheHierarchy uniqueName="[Measures].[Sum of Users]" caption="Sum of Users" measure="1" displayFolder="" measureGroup="Table1" count="0" hidden="1">
      <extLst>
        <ext xmlns:x15="http://schemas.microsoft.com/office/spreadsheetml/2010/11/main" uri="{B97F6D7D-B522-45F9-BDA1-12C45D357490}">
          <x15:cacheHierarchy aggregatedColumn="4"/>
        </ext>
      </extLst>
    </cacheHierarchy>
    <cacheHierarchy uniqueName="[Measures].[Average of Users]" caption="Average of Users" measure="1" displayFolder="" measureGroup="Table1" count="0" hidden="1">
      <extLst>
        <ext xmlns:x15="http://schemas.microsoft.com/office/spreadsheetml/2010/11/main" uri="{B97F6D7D-B522-45F9-BDA1-12C45D357490}">
          <x15:cacheHierarchy aggregatedColumn="4"/>
        </ext>
      </extLst>
    </cacheHierarchy>
    <cacheHierarchy uniqueName="[Measures].[Sum of Transactions]" caption="Sum of Transactions" measure="1" displayFolder="" measureGroup="Table1" count="0" hidden="1">
      <extLst>
        <ext xmlns:x15="http://schemas.microsoft.com/office/spreadsheetml/2010/11/main" uri="{B97F6D7D-B522-45F9-BDA1-12C45D357490}">
          <x15:cacheHierarchy aggregatedColumn="13"/>
        </ext>
      </extLst>
    </cacheHierarchy>
    <cacheHierarchy uniqueName="[Measures].[Sum of Average Conversion Rate in 2020]" caption="Sum of Average Conversion Rate in 2020" measure="1" displayFolder="" measureGroup="Table4" count="0" hidden="1">
      <extLst>
        <ext xmlns:x15="http://schemas.microsoft.com/office/spreadsheetml/2010/11/main" uri="{B97F6D7D-B522-45F9-BDA1-12C45D357490}">
          <x15:cacheHierarchy aggregatedColumn="26"/>
        </ext>
      </extLst>
    </cacheHierarchy>
    <cacheHierarchy uniqueName="[Measures].[Sum of Average Conversion rate 2019]" caption="Sum of Average Conversion rate 2019" measure="1" displayFolder="" measureGroup="Table4" count="0" hidden="1">
      <extLst>
        <ext xmlns:x15="http://schemas.microsoft.com/office/spreadsheetml/2010/11/main" uri="{B97F6D7D-B522-45F9-BDA1-12C45D357490}">
          <x15:cacheHierarchy aggregatedColumn="27"/>
        </ext>
      </extLst>
    </cacheHierarchy>
    <cacheHierarchy uniqueName="[Measures].[Sum of Average Conversion Rate in 2020 2]" caption="Sum of Average Conversion Rate in 2020 2" measure="1" displayFolder="" measureGroup="Table1" count="0" hidden="1">
      <extLst>
        <ext xmlns:x15="http://schemas.microsoft.com/office/spreadsheetml/2010/11/main" uri="{B97F6D7D-B522-45F9-BDA1-12C45D357490}">
          <x15:cacheHierarchy aggregatedColumn="21"/>
        </ext>
      </extLst>
    </cacheHierarchy>
    <cacheHierarchy uniqueName="[Measures].[Sum of Average Conversion rate 2019 2]" caption="Sum of Average Conversion rate 2019 2" measure="1" displayFolder="" measureGroup="Table1"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Bounce Rate]" caption="Sum of Bounce Rate" measure="1" displayFolder="" measureGroup="Table1" count="0" hidden="1">
      <extLst>
        <ext xmlns:x15="http://schemas.microsoft.com/office/spreadsheetml/2010/11/main" uri="{B97F6D7D-B522-45F9-BDA1-12C45D357490}">
          <x15:cacheHierarchy aggregatedColumn="8"/>
        </ext>
      </extLst>
    </cacheHierarchy>
    <cacheHierarchy uniqueName="[Measures].[Average of Bounce Rate]" caption="Average of Bounce Rate" measure="1" displayFolder="" measureGroup="Table1" count="0" hidden="1">
      <extLst>
        <ext xmlns:x15="http://schemas.microsoft.com/office/spreadsheetml/2010/11/main" uri="{B97F6D7D-B522-45F9-BDA1-12C45D357490}">
          <x15:cacheHierarchy aggregatedColumn="8"/>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Revenue Per Session]" caption="Sum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Average of Revenue Per Session]" caption="Average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Max of Conversion Rate (%)]" caption="Max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Pageviews]" caption="Sum of Pageviews" measure="1" displayFolder="" measureGroup="Table1" count="0" hidden="1">
      <extLst>
        <ext xmlns:x15="http://schemas.microsoft.com/office/spreadsheetml/2010/11/main" uri="{B97F6D7D-B522-45F9-BDA1-12C45D357490}">
          <x15:cacheHierarchy aggregatedColumn="9"/>
        </ext>
      </extLst>
    </cacheHierarchy>
    <cacheHierarchy uniqueName="[Measures].[Average of Pageviews]" caption="Average of Pageviews"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15"/>
        </ext>
      </extLst>
    </cacheHierarchy>
    <cacheHierarchy uniqueName="[Measures].[Count of Avg. Session Duration]" caption="Count of Avg. Session Duration" measure="1" displayFolder="" measureGroup="Table1" count="0" hidden="1">
      <extLst>
        <ext xmlns:x15="http://schemas.microsoft.com/office/spreadsheetml/2010/11/main" uri="{B97F6D7D-B522-45F9-BDA1-12C45D357490}">
          <x15:cacheHierarchy aggregatedColumn="10"/>
        </ext>
      </extLst>
    </cacheHierarchy>
    <cacheHierarchy uniqueName="[Measures].[Sum of User Retention Rate %]" caption="Sum of User Retention Rate %" measure="1" displayFolder="" measureGroup="Table1" count="0" hidden="1">
      <extLst>
        <ext xmlns:x15="http://schemas.microsoft.com/office/spreadsheetml/2010/11/main" uri="{B97F6D7D-B522-45F9-BDA1-12C45D357490}">
          <x15:cacheHierarchy aggregatedColumn="16"/>
        </ext>
      </extLst>
    </cacheHierarchy>
    <cacheHierarchy uniqueName="[Measures].[Sum of Returning Users]" caption="Sum of Returning Users" measure="1" displayFolder="" measureGroup="Table1" count="0" hidden="1">
      <extLst>
        <ext xmlns:x15="http://schemas.microsoft.com/office/spreadsheetml/2010/11/main" uri="{B97F6D7D-B522-45F9-BDA1-12C45D357490}">
          <x15:cacheHierarchy aggregatedColumn="6"/>
        </ext>
      </extLst>
    </cacheHierarchy>
    <cacheHierarchy uniqueName="[Measures].[Sum of New Users]" caption="Sum of New Users" measure="1" displayFolder="" measureGroup="Table1" count="0" hidden="1">
      <extLst>
        <ext xmlns:x15="http://schemas.microsoft.com/office/spreadsheetml/2010/11/main" uri="{B97F6D7D-B522-45F9-BDA1-12C45D357490}">
          <x15:cacheHierarchy aggregatedColumn="5"/>
        </ext>
      </extLst>
    </cacheHierarchy>
    <cacheHierarchy uniqueName="[Measures].[Sum of Revenue Per User]" caption="Sum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Per User]" caption="Average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Cost Per Conversion %]" caption="Count of Cost Per Conversion %" measure="1" displayFolder="" measureGroup="Table1" count="0" hidden="1">
      <extLst>
        <ext xmlns:x15="http://schemas.microsoft.com/office/spreadsheetml/2010/11/main" uri="{B97F6D7D-B522-45F9-BDA1-12C45D357490}">
          <x15:cacheHierarchy aggregatedColumn="20"/>
        </ext>
      </extLst>
    </cacheHierarchy>
    <cacheHierarchy uniqueName="[Measures].[Sum of Sessions]" caption="Sum of Sessions" measure="1" displayFolder="" measureGroup="Table1" count="0" hidden="1">
      <extLst>
        <ext xmlns:x15="http://schemas.microsoft.com/office/spreadsheetml/2010/11/main" uri="{B97F6D7D-B522-45F9-BDA1-12C45D357490}">
          <x15:cacheHierarchy aggregatedColumn="7"/>
        </ext>
      </extLst>
    </cacheHierarchy>
    <cacheHierarchy uniqueName="[Measures].[Count of Revenue Per Transactions]" caption="Count of Revenue Per Transactions"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esh Kedar" refreshedDate="45978.844684143522" backgroundQuery="1" createdVersion="8" refreshedVersion="8" minRefreshableVersion="3" recordCount="0" supportSubquery="1" supportAdvancedDrill="1" xr:uid="{A6C5CCB9-D264-41B4-A03A-C7A8D6FE63E6}">
  <cacheSource type="external" connectionId="1"/>
  <cacheFields count="5">
    <cacheField name="[Table1].[Source / Medium].[Source / Medium]" caption="Source / Medium" numFmtId="0" level="1">
      <sharedItems count="19">
        <s v="A"/>
        <s v="B"/>
        <s v="C"/>
        <s v="E"/>
        <s v="F"/>
        <s v="G"/>
        <s v="I"/>
        <s v="J"/>
        <s v="K"/>
        <s v="L"/>
        <s v="M"/>
        <s v="O"/>
        <s v="P"/>
        <s v="R"/>
        <s v="S"/>
        <s v="T"/>
        <s v="U"/>
        <s v="V"/>
        <s v="Z"/>
      </sharedItems>
    </cacheField>
    <cacheField name="[Measures].[Sum of Revenue]" caption="Sum of Revenue" numFmtId="0" hierarchy="40" level="32767"/>
    <cacheField name="[Table1].[Year].[Year]" caption="Year" numFmtId="0" hierarchy="1" level="1">
      <sharedItems containsSemiMixedTypes="0" containsNonDate="0" containsString="0"/>
    </cacheField>
    <cacheField name="[Table1].[Date (Month)].[Date (Month)]" caption="Date (Month)" numFmtId="0" hierarchy="25" level="1">
      <sharedItems count="12">
        <s v="Jan"/>
        <s v="Feb"/>
        <s v="Mar"/>
        <s v="Apr"/>
        <s v="May"/>
        <s v="Jun"/>
        <s v="Jul"/>
        <s v="Aug"/>
        <s v="Sep"/>
        <s v="Oct"/>
        <s v="Nov"/>
        <s v="Dec"/>
      </sharedItems>
    </cacheField>
    <cacheField name="[Measures].[Sum of Quantity Sold]" caption="Sum of Quantity Sold" numFmtId="0" hierarchy="50" level="32767"/>
  </cacheFields>
  <cacheHierarchies count="61">
    <cacheHierarchy uniqueName="[Table1].[Source / Medium]" caption="Source / Medium" attribute="1" defaultMemberUniqueName="[Table1].[Source / Medium].[All]" allUniqueName="[Table1].[Source / Medium].[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Date]" caption="Date" attribute="1" time="1" defaultMemberUniqueName="[Table1].[Date].[All]" allUniqueName="[Table1].[Date].[All]" dimensionUniqueName="[Table1]" displayFolder="" count="2" memberValueDatatype="7" unbalanced="0"/>
    <cacheHierarchy uniqueName="[Table1].[Month of the year]" caption="Month of the year" attribute="1" defaultMemberUniqueName="[Table1].[Month of the year].[All]" allUniqueName="[Table1].[Month of the year].[All]" dimensionUniqueName="[Table1]" displayFolder="" count="0" memberValueDatatype="20" unbalanced="0"/>
    <cacheHierarchy uniqueName="[Table1].[Users]" caption="Users" attribute="1" defaultMemberUniqueName="[Table1].[Users].[All]" allUniqueName="[Table1].[Users].[All]" dimensionUniqueName="[Table1]" displayFolder="" count="0" memberValueDatatype="20" unbalanced="0"/>
    <cacheHierarchy uniqueName="[Table1].[New Users]" caption="New Users" attribute="1" defaultMemberUniqueName="[Table1].[New Users].[All]" allUniqueName="[Table1].[New Users].[All]" dimensionUniqueName="[Table1]" displayFolder="" count="0" memberValueDatatype="20" unbalanced="0"/>
    <cacheHierarchy uniqueName="[Table1].[Returning Users]" caption="Returning Users" attribute="1" defaultMemberUniqueName="[Table1].[Returning Users].[All]" allUniqueName="[Table1].[Returning Users].[All]" dimensionUniqueName="[Table1]" displayFolder="" count="0" memberValueDatatype="20" unbalanced="0"/>
    <cacheHierarchy uniqueName="[Table1].[Sessions]" caption="Sessions" attribute="1" defaultMemberUniqueName="[Table1].[Sessions].[All]" allUniqueName="[Table1].[Sessions].[All]" dimensionUniqueName="[Table1]" displayFolder="" count="0" memberValueDatatype="20" unbalanced="0"/>
    <cacheHierarchy uniqueName="[Table1].[Bounce Rate]" caption="Bounce Rate" attribute="1" defaultMemberUniqueName="[Table1].[Bounce Rate].[All]" allUniqueName="[Table1].[Bounce Rate].[All]" dimensionUniqueName="[Table1]" displayFolder="" count="0" memberValueDatatype="5" unbalanced="0"/>
    <cacheHierarchy uniqueName="[Table1].[Pageviews]" caption="Pageviews" attribute="1" defaultMemberUniqueName="[Table1].[Pageviews].[All]" allUniqueName="[Table1].[Pageviews].[All]" dimensionUniqueName="[Table1]" displayFolder="" count="0" memberValueDatatype="20" unbalanced="0"/>
    <cacheHierarchy uniqueName="[Table1].[Avg. Session Duration]" caption="Avg. Session Duration" attribute="1" time="1" defaultMemberUniqueName="[Table1].[Avg. Session Duration].[All]" allUniqueName="[Table1].[Avg. Session Duration].[All]" dimensionUniqueName="[Table1]" displayFolder="" count="0" memberValueDatatype="7" unbalanced="0"/>
    <cacheHierarchy uniqueName="[Table1].[Avg PageViews/Session]" caption="Avg PageViews/Session" attribute="1" time="1" defaultMemberUniqueName="[Table1].[Avg PageViews/Session].[All]" allUniqueName="[Table1].[Avg PageViews/Session].[All]" dimensionUniqueName="[Table1]" displayFolder="" count="0" memberValueDatatype="7"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Transactions]" caption="Transactions" attribute="1" defaultMemberUniqueName="[Table1].[Transactions].[All]" allUniqueName="[Table1].[Transactions].[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ser Retention Rate %]" caption="User Retention Rate %" attribute="1" defaultMemberUniqueName="[Table1].[User Retention Rate %].[All]" allUniqueName="[Table1].[User Retention Rate %].[All]" dimensionUniqueName="[Table1]" displayFolder="" count="0" memberValueDatatype="5" unbalanced="0"/>
    <cacheHierarchy uniqueName="[Table1].[Revenue Per User]" caption="Revenue Per User" attribute="1" defaultMemberUniqueName="[Table1].[Revenue Per User].[All]" allUniqueName="[Table1].[Revenue Per User].[All]" dimensionUniqueName="[Table1]" displayFolder="" count="0" memberValueDatatype="5" unbalanced="0"/>
    <cacheHierarchy uniqueName="[Table1].[Revenue Per Session]" caption="Revenue Per Session" attribute="1" defaultMemberUniqueName="[Table1].[Revenue Per Session].[All]" allUniqueName="[Table1].[Revenue Per Session].[All]" dimensionUniqueName="[Table1]" displayFolder="" count="0" memberValueDatatype="5" unbalanced="0"/>
    <cacheHierarchy uniqueName="[Table1].[Revenue Per Transactions]" caption="Revenue Per Transactions" attribute="1" defaultMemberUniqueName="[Table1].[Revenue Per Transactions].[All]" allUniqueName="[Table1].[Revenue Per Transactions].[All]" dimensionUniqueName="[Table1]" displayFolder="" count="0" memberValueDatatype="130" unbalanced="0"/>
    <cacheHierarchy uniqueName="[Table1].[Cost Per Conversion %]" caption="Cost Per Conversion %" attribute="1" defaultMemberUniqueName="[Table1].[Cost Per Conversion %].[All]" allUniqueName="[Table1].[Cost Per Conversion %].[All]" dimensionUniqueName="[Table1]" displayFolder="" count="0" memberValueDatatype="130" unbalanced="0"/>
    <cacheHierarchy uniqueName="[Table1].[Average Conversion Rate in 2020]" caption="Average Conversion Rate in 2020" attribute="1" defaultMemberUniqueName="[Table1].[Average Conversion Rate in 2020].[All]" allUniqueName="[Table1].[Average Conversion Rate in 2020].[All]" dimensionUniqueName="[Table1]" displayFolder="" count="0" memberValueDatatype="5" unbalanced="0"/>
    <cacheHierarchy uniqueName="[Table1].[Average Conversion rate 2019]" caption="Average Conversion rate 2019" attribute="1" defaultMemberUniqueName="[Table1].[Average Conversion rate 2019].[All]" allUniqueName="[Table1].[Average Conversion rate 2019].[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3"/>
      </fieldsUsage>
    </cacheHierarchy>
    <cacheHierarchy uniqueName="[Table4].[Average Conversion Rate in 2020]" caption="Average Conversion Rate in 2020" attribute="1" defaultMemberUniqueName="[Table4].[Average Conversion Rate in 2020].[All]" allUniqueName="[Table4].[Average Conversion Rate in 2020].[All]" dimensionUniqueName="[Table4]" displayFolder="" count="0" memberValueDatatype="5" unbalanced="0"/>
    <cacheHierarchy uniqueName="[Table4].[Average Conversion rate 2019]" caption="Average Conversion rate 2019" attribute="1" defaultMemberUniqueName="[Table4].[Average Conversion rate 2019].[All]" allUniqueName="[Table4].[Average Conversion rate 2019].[All]" dimensionUniqueName="[Table4]"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1"/>
        </ext>
      </extLst>
    </cacheHierarchy>
    <cacheHierarchy uniqueName="[Measures].[Sum of Users]" caption="Sum of Users" measure="1" displayFolder="" measureGroup="Table1" count="0" hidden="1">
      <extLst>
        <ext xmlns:x15="http://schemas.microsoft.com/office/spreadsheetml/2010/11/main" uri="{B97F6D7D-B522-45F9-BDA1-12C45D357490}">
          <x15:cacheHierarchy aggregatedColumn="4"/>
        </ext>
      </extLst>
    </cacheHierarchy>
    <cacheHierarchy uniqueName="[Measures].[Average of Users]" caption="Average of Users" measure="1" displayFolder="" measureGroup="Table1" count="0" hidden="1">
      <extLst>
        <ext xmlns:x15="http://schemas.microsoft.com/office/spreadsheetml/2010/11/main" uri="{B97F6D7D-B522-45F9-BDA1-12C45D357490}">
          <x15:cacheHierarchy aggregatedColumn="4"/>
        </ext>
      </extLst>
    </cacheHierarchy>
    <cacheHierarchy uniqueName="[Measures].[Sum of Transactions]" caption="Sum of Transactions" measure="1" displayFolder="" measureGroup="Table1" count="0" hidden="1">
      <extLst>
        <ext xmlns:x15="http://schemas.microsoft.com/office/spreadsheetml/2010/11/main" uri="{B97F6D7D-B522-45F9-BDA1-12C45D357490}">
          <x15:cacheHierarchy aggregatedColumn="13"/>
        </ext>
      </extLst>
    </cacheHierarchy>
    <cacheHierarchy uniqueName="[Measures].[Sum of Average Conversion Rate in 2020]" caption="Sum of Average Conversion Rate in 2020" measure="1" displayFolder="" measureGroup="Table4" count="0" hidden="1">
      <extLst>
        <ext xmlns:x15="http://schemas.microsoft.com/office/spreadsheetml/2010/11/main" uri="{B97F6D7D-B522-45F9-BDA1-12C45D357490}">
          <x15:cacheHierarchy aggregatedColumn="26"/>
        </ext>
      </extLst>
    </cacheHierarchy>
    <cacheHierarchy uniqueName="[Measures].[Sum of Average Conversion rate 2019]" caption="Sum of Average Conversion rate 2019" measure="1" displayFolder="" measureGroup="Table4" count="0" hidden="1">
      <extLst>
        <ext xmlns:x15="http://schemas.microsoft.com/office/spreadsheetml/2010/11/main" uri="{B97F6D7D-B522-45F9-BDA1-12C45D357490}">
          <x15:cacheHierarchy aggregatedColumn="27"/>
        </ext>
      </extLst>
    </cacheHierarchy>
    <cacheHierarchy uniqueName="[Measures].[Sum of Average Conversion Rate in 2020 2]" caption="Sum of Average Conversion Rate in 2020 2" measure="1" displayFolder="" measureGroup="Table1" count="0" hidden="1">
      <extLst>
        <ext xmlns:x15="http://schemas.microsoft.com/office/spreadsheetml/2010/11/main" uri="{B97F6D7D-B522-45F9-BDA1-12C45D357490}">
          <x15:cacheHierarchy aggregatedColumn="21"/>
        </ext>
      </extLst>
    </cacheHierarchy>
    <cacheHierarchy uniqueName="[Measures].[Sum of Average Conversion rate 2019 2]" caption="Sum of Average Conversion rate 2019 2" measure="1" displayFolder="" measureGroup="Table1"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Bounce Rate]" caption="Sum of Bounce Rate" measure="1" displayFolder="" measureGroup="Table1" count="0" hidden="1">
      <extLst>
        <ext xmlns:x15="http://schemas.microsoft.com/office/spreadsheetml/2010/11/main" uri="{B97F6D7D-B522-45F9-BDA1-12C45D357490}">
          <x15:cacheHierarchy aggregatedColumn="8"/>
        </ext>
      </extLst>
    </cacheHierarchy>
    <cacheHierarchy uniqueName="[Measures].[Average of Bounce Rate]" caption="Average of Bounce Rate" measure="1" displayFolder="" measureGroup="Table1" count="0" hidden="1">
      <extLst>
        <ext xmlns:x15="http://schemas.microsoft.com/office/spreadsheetml/2010/11/main" uri="{B97F6D7D-B522-45F9-BDA1-12C45D357490}">
          <x15:cacheHierarchy aggregatedColumn="8"/>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Revenue Per Session]" caption="Sum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Average of Revenue Per Session]" caption="Average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Max of Conversion Rate (%)]" caption="Max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Pageviews]" caption="Sum of Pageviews" measure="1" displayFolder="" measureGroup="Table1" count="0" hidden="1">
      <extLst>
        <ext xmlns:x15="http://schemas.microsoft.com/office/spreadsheetml/2010/11/main" uri="{B97F6D7D-B522-45F9-BDA1-12C45D357490}">
          <x15:cacheHierarchy aggregatedColumn="9"/>
        </ext>
      </extLst>
    </cacheHierarchy>
    <cacheHierarchy uniqueName="[Measures].[Average of Pageviews]" caption="Average of Pageviews" measure="1" displayFolder="" measureGroup="Table1" count="0" hidden="1">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Table1" count="0" oneField="1" hidden="1">
      <fieldsUsage count="1">
        <fieldUsage x="4"/>
      </fieldsUsage>
      <extLst>
        <ext xmlns:x15="http://schemas.microsoft.com/office/spreadsheetml/2010/11/main" uri="{B97F6D7D-B522-45F9-BDA1-12C45D357490}">
          <x15:cacheHierarchy aggregatedColumn="15"/>
        </ext>
      </extLst>
    </cacheHierarchy>
    <cacheHierarchy uniqueName="[Measures].[Count of Avg. Session Duration]" caption="Count of Avg. Session Duration" measure="1" displayFolder="" measureGroup="Table1" count="0" hidden="1">
      <extLst>
        <ext xmlns:x15="http://schemas.microsoft.com/office/spreadsheetml/2010/11/main" uri="{B97F6D7D-B522-45F9-BDA1-12C45D357490}">
          <x15:cacheHierarchy aggregatedColumn="10"/>
        </ext>
      </extLst>
    </cacheHierarchy>
    <cacheHierarchy uniqueName="[Measures].[Sum of User Retention Rate %]" caption="Sum of User Retention Rate %" measure="1" displayFolder="" measureGroup="Table1" count="0" hidden="1">
      <extLst>
        <ext xmlns:x15="http://schemas.microsoft.com/office/spreadsheetml/2010/11/main" uri="{B97F6D7D-B522-45F9-BDA1-12C45D357490}">
          <x15:cacheHierarchy aggregatedColumn="16"/>
        </ext>
      </extLst>
    </cacheHierarchy>
    <cacheHierarchy uniqueName="[Measures].[Sum of Returning Users]" caption="Sum of Returning Users" measure="1" displayFolder="" measureGroup="Table1" count="0" hidden="1">
      <extLst>
        <ext xmlns:x15="http://schemas.microsoft.com/office/spreadsheetml/2010/11/main" uri="{B97F6D7D-B522-45F9-BDA1-12C45D357490}">
          <x15:cacheHierarchy aggregatedColumn="6"/>
        </ext>
      </extLst>
    </cacheHierarchy>
    <cacheHierarchy uniqueName="[Measures].[Sum of New Users]" caption="Sum of New Users" measure="1" displayFolder="" measureGroup="Table1" count="0" hidden="1">
      <extLst>
        <ext xmlns:x15="http://schemas.microsoft.com/office/spreadsheetml/2010/11/main" uri="{B97F6D7D-B522-45F9-BDA1-12C45D357490}">
          <x15:cacheHierarchy aggregatedColumn="5"/>
        </ext>
      </extLst>
    </cacheHierarchy>
    <cacheHierarchy uniqueName="[Measures].[Sum of Revenue Per User]" caption="Sum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Per User]" caption="Average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Cost Per Conversion %]" caption="Count of Cost Per Conversion %" measure="1" displayFolder="" measureGroup="Table1" count="0" hidden="1">
      <extLst>
        <ext xmlns:x15="http://schemas.microsoft.com/office/spreadsheetml/2010/11/main" uri="{B97F6D7D-B522-45F9-BDA1-12C45D357490}">
          <x15:cacheHierarchy aggregatedColumn="20"/>
        </ext>
      </extLst>
    </cacheHierarchy>
    <cacheHierarchy uniqueName="[Measures].[Sum of Sessions]" caption="Sum of Sessions" measure="1" displayFolder="" measureGroup="Table1" count="0" hidden="1">
      <extLst>
        <ext xmlns:x15="http://schemas.microsoft.com/office/spreadsheetml/2010/11/main" uri="{B97F6D7D-B522-45F9-BDA1-12C45D357490}">
          <x15:cacheHierarchy aggregatedColumn="7"/>
        </ext>
      </extLst>
    </cacheHierarchy>
    <cacheHierarchy uniqueName="[Measures].[Count of Revenue Per Transactions]" caption="Count of Revenue Per Transactions"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esh Kedar" refreshedDate="45978.844684490738" backgroundQuery="1" createdVersion="8" refreshedVersion="8" minRefreshableVersion="3" recordCount="0" supportSubquery="1" supportAdvancedDrill="1" xr:uid="{69A2CBB9-2CFF-4E33-A61A-224CAB79DAA2}">
  <cacheSource type="external" connectionId="1"/>
  <cacheFields count="3">
    <cacheField name="[Table1].[Source / Medium].[Source / Medium]" caption="Source / Medium" numFmtId="0" level="1">
      <sharedItems count="19">
        <s v="A"/>
        <s v="B"/>
        <s v="C"/>
        <s v="E"/>
        <s v="F"/>
        <s v="G"/>
        <s v="I"/>
        <s v="J"/>
        <s v="K"/>
        <s v="L"/>
        <s v="M"/>
        <s v="O"/>
        <s v="P"/>
        <s v="R"/>
        <s v="S"/>
        <s v="T"/>
        <s v="U"/>
        <s v="V"/>
        <s v="Z"/>
      </sharedItems>
    </cacheField>
    <cacheField name="[Table1].[Year].[Year]" caption="Year" numFmtId="0" hierarchy="1" level="1">
      <sharedItems containsSemiMixedTypes="0" containsNonDate="0" containsString="0"/>
    </cacheField>
    <cacheField name="[Measures].[Sum of Pageviews]" caption="Sum of Pageviews" numFmtId="0" hierarchy="48" level="32767"/>
  </cacheFields>
  <cacheHierarchies count="61">
    <cacheHierarchy uniqueName="[Table1].[Source / Medium]" caption="Source / Medium" attribute="1" defaultMemberUniqueName="[Table1].[Source / Medium].[All]" allUniqueName="[Table1].[Source / Medium].[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Date]" caption="Date" attribute="1" time="1" defaultMemberUniqueName="[Table1].[Date].[All]" allUniqueName="[Table1].[Date].[All]" dimensionUniqueName="[Table1]" displayFolder="" count="2" memberValueDatatype="7" unbalanced="0"/>
    <cacheHierarchy uniqueName="[Table1].[Month of the year]" caption="Month of the year" attribute="1" defaultMemberUniqueName="[Table1].[Month of the year].[All]" allUniqueName="[Table1].[Month of the year].[All]" dimensionUniqueName="[Table1]" displayFolder="" count="0" memberValueDatatype="20" unbalanced="0"/>
    <cacheHierarchy uniqueName="[Table1].[Users]" caption="Users" attribute="1" defaultMemberUniqueName="[Table1].[Users].[All]" allUniqueName="[Table1].[Users].[All]" dimensionUniqueName="[Table1]" displayFolder="" count="0" memberValueDatatype="20" unbalanced="0"/>
    <cacheHierarchy uniqueName="[Table1].[New Users]" caption="New Users" attribute="1" defaultMemberUniqueName="[Table1].[New Users].[All]" allUniqueName="[Table1].[New Users].[All]" dimensionUniqueName="[Table1]" displayFolder="" count="0" memberValueDatatype="20" unbalanced="0"/>
    <cacheHierarchy uniqueName="[Table1].[Returning Users]" caption="Returning Users" attribute="1" defaultMemberUniqueName="[Table1].[Returning Users].[All]" allUniqueName="[Table1].[Returning Users].[All]" dimensionUniqueName="[Table1]" displayFolder="" count="0" memberValueDatatype="20" unbalanced="0"/>
    <cacheHierarchy uniqueName="[Table1].[Sessions]" caption="Sessions" attribute="1" defaultMemberUniqueName="[Table1].[Sessions].[All]" allUniqueName="[Table1].[Sessions].[All]" dimensionUniqueName="[Table1]" displayFolder="" count="0" memberValueDatatype="20" unbalanced="0"/>
    <cacheHierarchy uniqueName="[Table1].[Bounce Rate]" caption="Bounce Rate" attribute="1" defaultMemberUniqueName="[Table1].[Bounce Rate].[All]" allUniqueName="[Table1].[Bounce Rate].[All]" dimensionUniqueName="[Table1]" displayFolder="" count="0" memberValueDatatype="5" unbalanced="0"/>
    <cacheHierarchy uniqueName="[Table1].[Pageviews]" caption="Pageviews" attribute="1" defaultMemberUniqueName="[Table1].[Pageviews].[All]" allUniqueName="[Table1].[Pageviews].[All]" dimensionUniqueName="[Table1]" displayFolder="" count="0" memberValueDatatype="20" unbalanced="0"/>
    <cacheHierarchy uniqueName="[Table1].[Avg. Session Duration]" caption="Avg. Session Duration" attribute="1" time="1" defaultMemberUniqueName="[Table1].[Avg. Session Duration].[All]" allUniqueName="[Table1].[Avg. Session Duration].[All]" dimensionUniqueName="[Table1]" displayFolder="" count="0" memberValueDatatype="7" unbalanced="0"/>
    <cacheHierarchy uniqueName="[Table1].[Avg PageViews/Session]" caption="Avg PageViews/Session" attribute="1" time="1" defaultMemberUniqueName="[Table1].[Avg PageViews/Session].[All]" allUniqueName="[Table1].[Avg PageViews/Session].[All]" dimensionUniqueName="[Table1]" displayFolder="" count="0" memberValueDatatype="7"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Transactions]" caption="Transactions" attribute="1" defaultMemberUniqueName="[Table1].[Transactions].[All]" allUniqueName="[Table1].[Transactions].[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ser Retention Rate %]" caption="User Retention Rate %" attribute="1" defaultMemberUniqueName="[Table1].[User Retention Rate %].[All]" allUniqueName="[Table1].[User Retention Rate %].[All]" dimensionUniqueName="[Table1]" displayFolder="" count="0" memberValueDatatype="5" unbalanced="0"/>
    <cacheHierarchy uniqueName="[Table1].[Revenue Per User]" caption="Revenue Per User" attribute="1" defaultMemberUniqueName="[Table1].[Revenue Per User].[All]" allUniqueName="[Table1].[Revenue Per User].[All]" dimensionUniqueName="[Table1]" displayFolder="" count="0" memberValueDatatype="5" unbalanced="0"/>
    <cacheHierarchy uniqueName="[Table1].[Revenue Per Session]" caption="Revenue Per Session" attribute="1" defaultMemberUniqueName="[Table1].[Revenue Per Session].[All]" allUniqueName="[Table1].[Revenue Per Session].[All]" dimensionUniqueName="[Table1]" displayFolder="" count="0" memberValueDatatype="5" unbalanced="0"/>
    <cacheHierarchy uniqueName="[Table1].[Revenue Per Transactions]" caption="Revenue Per Transactions" attribute="1" defaultMemberUniqueName="[Table1].[Revenue Per Transactions].[All]" allUniqueName="[Table1].[Revenue Per Transactions].[All]" dimensionUniqueName="[Table1]" displayFolder="" count="0" memberValueDatatype="130" unbalanced="0"/>
    <cacheHierarchy uniqueName="[Table1].[Cost Per Conversion %]" caption="Cost Per Conversion %" attribute="1" defaultMemberUniqueName="[Table1].[Cost Per Conversion %].[All]" allUniqueName="[Table1].[Cost Per Conversion %].[All]" dimensionUniqueName="[Table1]" displayFolder="" count="0" memberValueDatatype="130" unbalanced="0"/>
    <cacheHierarchy uniqueName="[Table1].[Average Conversion Rate in 2020]" caption="Average Conversion Rate in 2020" attribute="1" defaultMemberUniqueName="[Table1].[Average Conversion Rate in 2020].[All]" allUniqueName="[Table1].[Average Conversion Rate in 2020].[All]" dimensionUniqueName="[Table1]" displayFolder="" count="0" memberValueDatatype="5" unbalanced="0"/>
    <cacheHierarchy uniqueName="[Table1].[Average Conversion rate 2019]" caption="Average Conversion rate 2019" attribute="1" defaultMemberUniqueName="[Table1].[Average Conversion rate 2019].[All]" allUniqueName="[Table1].[Average Conversion rate 2019].[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4].[Average Conversion Rate in 2020]" caption="Average Conversion Rate in 2020" attribute="1" defaultMemberUniqueName="[Table4].[Average Conversion Rate in 2020].[All]" allUniqueName="[Table4].[Average Conversion Rate in 2020].[All]" dimensionUniqueName="[Table4]" displayFolder="" count="0" memberValueDatatype="5" unbalanced="0"/>
    <cacheHierarchy uniqueName="[Table4].[Average Conversion rate 2019]" caption="Average Conversion rate 2019" attribute="1" defaultMemberUniqueName="[Table4].[Average Conversion rate 2019].[All]" allUniqueName="[Table4].[Average Conversion rate 2019].[All]" dimensionUniqueName="[Table4]"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1"/>
        </ext>
      </extLst>
    </cacheHierarchy>
    <cacheHierarchy uniqueName="[Measures].[Sum of Users]" caption="Sum of Users" measure="1" displayFolder="" measureGroup="Table1" count="0" hidden="1">
      <extLst>
        <ext xmlns:x15="http://schemas.microsoft.com/office/spreadsheetml/2010/11/main" uri="{B97F6D7D-B522-45F9-BDA1-12C45D357490}">
          <x15:cacheHierarchy aggregatedColumn="4"/>
        </ext>
      </extLst>
    </cacheHierarchy>
    <cacheHierarchy uniqueName="[Measures].[Average of Users]" caption="Average of Users" measure="1" displayFolder="" measureGroup="Table1" count="0" hidden="1">
      <extLst>
        <ext xmlns:x15="http://schemas.microsoft.com/office/spreadsheetml/2010/11/main" uri="{B97F6D7D-B522-45F9-BDA1-12C45D357490}">
          <x15:cacheHierarchy aggregatedColumn="4"/>
        </ext>
      </extLst>
    </cacheHierarchy>
    <cacheHierarchy uniqueName="[Measures].[Sum of Transactions]" caption="Sum of Transactions" measure="1" displayFolder="" measureGroup="Table1" count="0" hidden="1">
      <extLst>
        <ext xmlns:x15="http://schemas.microsoft.com/office/spreadsheetml/2010/11/main" uri="{B97F6D7D-B522-45F9-BDA1-12C45D357490}">
          <x15:cacheHierarchy aggregatedColumn="13"/>
        </ext>
      </extLst>
    </cacheHierarchy>
    <cacheHierarchy uniqueName="[Measures].[Sum of Average Conversion Rate in 2020]" caption="Sum of Average Conversion Rate in 2020" measure="1" displayFolder="" measureGroup="Table4" count="0" hidden="1">
      <extLst>
        <ext xmlns:x15="http://schemas.microsoft.com/office/spreadsheetml/2010/11/main" uri="{B97F6D7D-B522-45F9-BDA1-12C45D357490}">
          <x15:cacheHierarchy aggregatedColumn="26"/>
        </ext>
      </extLst>
    </cacheHierarchy>
    <cacheHierarchy uniqueName="[Measures].[Sum of Average Conversion rate 2019]" caption="Sum of Average Conversion rate 2019" measure="1" displayFolder="" measureGroup="Table4" count="0" hidden="1">
      <extLst>
        <ext xmlns:x15="http://schemas.microsoft.com/office/spreadsheetml/2010/11/main" uri="{B97F6D7D-B522-45F9-BDA1-12C45D357490}">
          <x15:cacheHierarchy aggregatedColumn="27"/>
        </ext>
      </extLst>
    </cacheHierarchy>
    <cacheHierarchy uniqueName="[Measures].[Sum of Average Conversion Rate in 2020 2]" caption="Sum of Average Conversion Rate in 2020 2" measure="1" displayFolder="" measureGroup="Table1" count="0" hidden="1">
      <extLst>
        <ext xmlns:x15="http://schemas.microsoft.com/office/spreadsheetml/2010/11/main" uri="{B97F6D7D-B522-45F9-BDA1-12C45D357490}">
          <x15:cacheHierarchy aggregatedColumn="21"/>
        </ext>
      </extLst>
    </cacheHierarchy>
    <cacheHierarchy uniqueName="[Measures].[Sum of Average Conversion rate 2019 2]" caption="Sum of Average Conversion rate 2019 2" measure="1" displayFolder="" measureGroup="Table1"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Bounce Rate]" caption="Sum of Bounce Rate" measure="1" displayFolder="" measureGroup="Table1" count="0" hidden="1">
      <extLst>
        <ext xmlns:x15="http://schemas.microsoft.com/office/spreadsheetml/2010/11/main" uri="{B97F6D7D-B522-45F9-BDA1-12C45D357490}">
          <x15:cacheHierarchy aggregatedColumn="8"/>
        </ext>
      </extLst>
    </cacheHierarchy>
    <cacheHierarchy uniqueName="[Measures].[Average of Bounce Rate]" caption="Average of Bounce Rate" measure="1" displayFolder="" measureGroup="Table1" count="0" hidden="1">
      <extLst>
        <ext xmlns:x15="http://schemas.microsoft.com/office/spreadsheetml/2010/11/main" uri="{B97F6D7D-B522-45F9-BDA1-12C45D357490}">
          <x15:cacheHierarchy aggregatedColumn="8"/>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Revenue Per Session]" caption="Sum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Average of Revenue Per Session]" caption="Average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Max of Conversion Rate (%)]" caption="Max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Pageviews]" caption="Sum of Pageviews"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Average of Pageviews]" caption="Average of Pageviews" measure="1" displayFolder="" measureGroup="Table1" count="0" hidden="1">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15"/>
        </ext>
      </extLst>
    </cacheHierarchy>
    <cacheHierarchy uniqueName="[Measures].[Count of Avg. Session Duration]" caption="Count of Avg. Session Duration" measure="1" displayFolder="" measureGroup="Table1" count="0" hidden="1">
      <extLst>
        <ext xmlns:x15="http://schemas.microsoft.com/office/spreadsheetml/2010/11/main" uri="{B97F6D7D-B522-45F9-BDA1-12C45D357490}">
          <x15:cacheHierarchy aggregatedColumn="10"/>
        </ext>
      </extLst>
    </cacheHierarchy>
    <cacheHierarchy uniqueName="[Measures].[Sum of User Retention Rate %]" caption="Sum of User Retention Rate %" measure="1" displayFolder="" measureGroup="Table1" count="0" hidden="1">
      <extLst>
        <ext xmlns:x15="http://schemas.microsoft.com/office/spreadsheetml/2010/11/main" uri="{B97F6D7D-B522-45F9-BDA1-12C45D357490}">
          <x15:cacheHierarchy aggregatedColumn="16"/>
        </ext>
      </extLst>
    </cacheHierarchy>
    <cacheHierarchy uniqueName="[Measures].[Sum of Returning Users]" caption="Sum of Returning Users" measure="1" displayFolder="" measureGroup="Table1" count="0" hidden="1">
      <extLst>
        <ext xmlns:x15="http://schemas.microsoft.com/office/spreadsheetml/2010/11/main" uri="{B97F6D7D-B522-45F9-BDA1-12C45D357490}">
          <x15:cacheHierarchy aggregatedColumn="6"/>
        </ext>
      </extLst>
    </cacheHierarchy>
    <cacheHierarchy uniqueName="[Measures].[Sum of New Users]" caption="Sum of New Users" measure="1" displayFolder="" measureGroup="Table1" count="0" hidden="1">
      <extLst>
        <ext xmlns:x15="http://schemas.microsoft.com/office/spreadsheetml/2010/11/main" uri="{B97F6D7D-B522-45F9-BDA1-12C45D357490}">
          <x15:cacheHierarchy aggregatedColumn="5"/>
        </ext>
      </extLst>
    </cacheHierarchy>
    <cacheHierarchy uniqueName="[Measures].[Sum of Revenue Per User]" caption="Sum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Per User]" caption="Average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Cost Per Conversion %]" caption="Count of Cost Per Conversion %" measure="1" displayFolder="" measureGroup="Table1" count="0" hidden="1">
      <extLst>
        <ext xmlns:x15="http://schemas.microsoft.com/office/spreadsheetml/2010/11/main" uri="{B97F6D7D-B522-45F9-BDA1-12C45D357490}">
          <x15:cacheHierarchy aggregatedColumn="20"/>
        </ext>
      </extLst>
    </cacheHierarchy>
    <cacheHierarchy uniqueName="[Measures].[Sum of Sessions]" caption="Sum of Sessions" measure="1" displayFolder="" measureGroup="Table1" count="0" hidden="1">
      <extLst>
        <ext xmlns:x15="http://schemas.microsoft.com/office/spreadsheetml/2010/11/main" uri="{B97F6D7D-B522-45F9-BDA1-12C45D357490}">
          <x15:cacheHierarchy aggregatedColumn="7"/>
        </ext>
      </extLst>
    </cacheHierarchy>
    <cacheHierarchy uniqueName="[Measures].[Count of Revenue Per Transactions]" caption="Count of Revenue Per Transactions"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esh Kedar" refreshedDate="45978.844684953707" backgroundQuery="1" createdVersion="8" refreshedVersion="8" minRefreshableVersion="3" recordCount="0" supportSubquery="1" supportAdvancedDrill="1" xr:uid="{B0E339C4-FAD2-4F05-A936-5C7A86C04B21}">
  <cacheSource type="external" connectionId="1"/>
  <cacheFields count="2">
    <cacheField name="[Table1].[Date (Quarter)].[Date (Quarter)]" caption="Date (Quarter)" numFmtId="0" hierarchy="24" level="1">
      <sharedItems count="4">
        <s v="Qtr1"/>
        <s v="Qtr2"/>
        <s v="Qtr3"/>
        <s v="Qtr4"/>
      </sharedItems>
    </cacheField>
    <cacheField name="[Measures].[Sum of Transactions]" caption="Sum of Transactions" numFmtId="0" hierarchy="35" level="32767"/>
  </cacheFields>
  <cacheHierarchies count="61">
    <cacheHierarchy uniqueName="[Table1].[Source / Medium]" caption="Source / Medium" attribute="1" defaultMemberUniqueName="[Table1].[Source / Medium].[All]" allUniqueName="[Table1].[Source / Medium].[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ate]" caption="Date" attribute="1" time="1" defaultMemberUniqueName="[Table1].[Date].[All]" allUniqueName="[Table1].[Date].[All]" dimensionUniqueName="[Table1]" displayFolder="" count="2" memberValueDatatype="7" unbalanced="0"/>
    <cacheHierarchy uniqueName="[Table1].[Month of the year]" caption="Month of the year" attribute="1" defaultMemberUniqueName="[Table1].[Month of the year].[All]" allUniqueName="[Table1].[Month of the year].[All]" dimensionUniqueName="[Table1]" displayFolder="" count="0" memberValueDatatype="20" unbalanced="0"/>
    <cacheHierarchy uniqueName="[Table1].[Users]" caption="Users" attribute="1" defaultMemberUniqueName="[Table1].[Users].[All]" allUniqueName="[Table1].[Users].[All]" dimensionUniqueName="[Table1]" displayFolder="" count="0" memberValueDatatype="20" unbalanced="0"/>
    <cacheHierarchy uniqueName="[Table1].[New Users]" caption="New Users" attribute="1" defaultMemberUniqueName="[Table1].[New Users].[All]" allUniqueName="[Table1].[New Users].[All]" dimensionUniqueName="[Table1]" displayFolder="" count="0" memberValueDatatype="20" unbalanced="0"/>
    <cacheHierarchy uniqueName="[Table1].[Returning Users]" caption="Returning Users" attribute="1" defaultMemberUniqueName="[Table1].[Returning Users].[All]" allUniqueName="[Table1].[Returning Users].[All]" dimensionUniqueName="[Table1]" displayFolder="" count="0" memberValueDatatype="20" unbalanced="0"/>
    <cacheHierarchy uniqueName="[Table1].[Sessions]" caption="Sessions" attribute="1" defaultMemberUniqueName="[Table1].[Sessions].[All]" allUniqueName="[Table1].[Sessions].[All]" dimensionUniqueName="[Table1]" displayFolder="" count="0" memberValueDatatype="20" unbalanced="0"/>
    <cacheHierarchy uniqueName="[Table1].[Bounce Rate]" caption="Bounce Rate" attribute="1" defaultMemberUniqueName="[Table1].[Bounce Rate].[All]" allUniqueName="[Table1].[Bounce Rate].[All]" dimensionUniqueName="[Table1]" displayFolder="" count="0" memberValueDatatype="5" unbalanced="0"/>
    <cacheHierarchy uniqueName="[Table1].[Pageviews]" caption="Pageviews" attribute="1" defaultMemberUniqueName="[Table1].[Pageviews].[All]" allUniqueName="[Table1].[Pageviews].[All]" dimensionUniqueName="[Table1]" displayFolder="" count="0" memberValueDatatype="20" unbalanced="0"/>
    <cacheHierarchy uniqueName="[Table1].[Avg. Session Duration]" caption="Avg. Session Duration" attribute="1" time="1" defaultMemberUniqueName="[Table1].[Avg. Session Duration].[All]" allUniqueName="[Table1].[Avg. Session Duration].[All]" dimensionUniqueName="[Table1]" displayFolder="" count="0" memberValueDatatype="7" unbalanced="0"/>
    <cacheHierarchy uniqueName="[Table1].[Avg PageViews/Session]" caption="Avg PageViews/Session" attribute="1" time="1" defaultMemberUniqueName="[Table1].[Avg PageViews/Session].[All]" allUniqueName="[Table1].[Avg PageViews/Session].[All]" dimensionUniqueName="[Table1]" displayFolder="" count="0" memberValueDatatype="7"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Transactions]" caption="Transactions" attribute="1" defaultMemberUniqueName="[Table1].[Transactions].[All]" allUniqueName="[Table1].[Transactions].[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ser Retention Rate %]" caption="User Retention Rate %" attribute="1" defaultMemberUniqueName="[Table1].[User Retention Rate %].[All]" allUniqueName="[Table1].[User Retention Rate %].[All]" dimensionUniqueName="[Table1]" displayFolder="" count="0" memberValueDatatype="5" unbalanced="0"/>
    <cacheHierarchy uniqueName="[Table1].[Revenue Per User]" caption="Revenue Per User" attribute="1" defaultMemberUniqueName="[Table1].[Revenue Per User].[All]" allUniqueName="[Table1].[Revenue Per User].[All]" dimensionUniqueName="[Table1]" displayFolder="" count="0" memberValueDatatype="5" unbalanced="0"/>
    <cacheHierarchy uniqueName="[Table1].[Revenue Per Session]" caption="Revenue Per Session" attribute="1" defaultMemberUniqueName="[Table1].[Revenue Per Session].[All]" allUniqueName="[Table1].[Revenue Per Session].[All]" dimensionUniqueName="[Table1]" displayFolder="" count="0" memberValueDatatype="5" unbalanced="0"/>
    <cacheHierarchy uniqueName="[Table1].[Revenue Per Transactions]" caption="Revenue Per Transactions" attribute="1" defaultMemberUniqueName="[Table1].[Revenue Per Transactions].[All]" allUniqueName="[Table1].[Revenue Per Transactions].[All]" dimensionUniqueName="[Table1]" displayFolder="" count="0" memberValueDatatype="130" unbalanced="0"/>
    <cacheHierarchy uniqueName="[Table1].[Cost Per Conversion %]" caption="Cost Per Conversion %" attribute="1" defaultMemberUniqueName="[Table1].[Cost Per Conversion %].[All]" allUniqueName="[Table1].[Cost Per Conversion %].[All]" dimensionUniqueName="[Table1]" displayFolder="" count="0" memberValueDatatype="130" unbalanced="0"/>
    <cacheHierarchy uniqueName="[Table1].[Average Conversion Rate in 2020]" caption="Average Conversion Rate in 2020" attribute="1" defaultMemberUniqueName="[Table1].[Average Conversion Rate in 2020].[All]" allUniqueName="[Table1].[Average Conversion Rate in 2020].[All]" dimensionUniqueName="[Table1]" displayFolder="" count="0" memberValueDatatype="5" unbalanced="0"/>
    <cacheHierarchy uniqueName="[Table1].[Average Conversion rate 2019]" caption="Average Conversion rate 2019" attribute="1" defaultMemberUniqueName="[Table1].[Average Conversion rate 2019].[All]" allUniqueName="[Table1].[Average Conversion rate 2019].[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2" memberValueDatatype="130" unbalanced="0">
      <fieldsUsage count="2">
        <fieldUsage x="-1"/>
        <fieldUsage x="0"/>
      </fieldsUsage>
    </cacheHierarchy>
    <cacheHierarchy uniqueName="[Table1].[Date (Month)]" caption="Date (Month)" attribute="1" defaultMemberUniqueName="[Table1].[Date (Month)].[All]" allUniqueName="[Table1].[Date (Month)].[All]" dimensionUniqueName="[Table1]" displayFolder="" count="0" memberValueDatatype="130" unbalanced="0"/>
    <cacheHierarchy uniqueName="[Table4].[Average Conversion Rate in 2020]" caption="Average Conversion Rate in 2020" attribute="1" defaultMemberUniqueName="[Table4].[Average Conversion Rate in 2020].[All]" allUniqueName="[Table4].[Average Conversion Rate in 2020].[All]" dimensionUniqueName="[Table4]" displayFolder="" count="0" memberValueDatatype="5" unbalanced="0"/>
    <cacheHierarchy uniqueName="[Table4].[Average Conversion rate 2019]" caption="Average Conversion rate 2019" attribute="1" defaultMemberUniqueName="[Table4].[Average Conversion rate 2019].[All]" allUniqueName="[Table4].[Average Conversion rate 2019].[All]" dimensionUniqueName="[Table4]"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1"/>
        </ext>
      </extLst>
    </cacheHierarchy>
    <cacheHierarchy uniqueName="[Measures].[Sum of Users]" caption="Sum of Users" measure="1" displayFolder="" measureGroup="Table1" count="0" hidden="1">
      <extLst>
        <ext xmlns:x15="http://schemas.microsoft.com/office/spreadsheetml/2010/11/main" uri="{B97F6D7D-B522-45F9-BDA1-12C45D357490}">
          <x15:cacheHierarchy aggregatedColumn="4"/>
        </ext>
      </extLst>
    </cacheHierarchy>
    <cacheHierarchy uniqueName="[Measures].[Average of Users]" caption="Average of Users" measure="1" displayFolder="" measureGroup="Table1" count="0" hidden="1">
      <extLst>
        <ext xmlns:x15="http://schemas.microsoft.com/office/spreadsheetml/2010/11/main" uri="{B97F6D7D-B522-45F9-BDA1-12C45D357490}">
          <x15:cacheHierarchy aggregatedColumn="4"/>
        </ext>
      </extLst>
    </cacheHierarchy>
    <cacheHierarchy uniqueName="[Measures].[Sum of Transactions]" caption="Sum of Transactions"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Average Conversion Rate in 2020]" caption="Sum of Average Conversion Rate in 2020" measure="1" displayFolder="" measureGroup="Table4" count="0" hidden="1">
      <extLst>
        <ext xmlns:x15="http://schemas.microsoft.com/office/spreadsheetml/2010/11/main" uri="{B97F6D7D-B522-45F9-BDA1-12C45D357490}">
          <x15:cacheHierarchy aggregatedColumn="26"/>
        </ext>
      </extLst>
    </cacheHierarchy>
    <cacheHierarchy uniqueName="[Measures].[Sum of Average Conversion rate 2019]" caption="Sum of Average Conversion rate 2019" measure="1" displayFolder="" measureGroup="Table4" count="0" hidden="1">
      <extLst>
        <ext xmlns:x15="http://schemas.microsoft.com/office/spreadsheetml/2010/11/main" uri="{B97F6D7D-B522-45F9-BDA1-12C45D357490}">
          <x15:cacheHierarchy aggregatedColumn="27"/>
        </ext>
      </extLst>
    </cacheHierarchy>
    <cacheHierarchy uniqueName="[Measures].[Sum of Average Conversion Rate in 2020 2]" caption="Sum of Average Conversion Rate in 2020 2" measure="1" displayFolder="" measureGroup="Table1" count="0" hidden="1">
      <extLst>
        <ext xmlns:x15="http://schemas.microsoft.com/office/spreadsheetml/2010/11/main" uri="{B97F6D7D-B522-45F9-BDA1-12C45D357490}">
          <x15:cacheHierarchy aggregatedColumn="21"/>
        </ext>
      </extLst>
    </cacheHierarchy>
    <cacheHierarchy uniqueName="[Measures].[Sum of Average Conversion rate 2019 2]" caption="Sum of Average Conversion rate 2019 2" measure="1" displayFolder="" measureGroup="Table1"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Bounce Rate]" caption="Sum of Bounce Rate" measure="1" displayFolder="" measureGroup="Table1" count="0" hidden="1">
      <extLst>
        <ext xmlns:x15="http://schemas.microsoft.com/office/spreadsheetml/2010/11/main" uri="{B97F6D7D-B522-45F9-BDA1-12C45D357490}">
          <x15:cacheHierarchy aggregatedColumn="8"/>
        </ext>
      </extLst>
    </cacheHierarchy>
    <cacheHierarchy uniqueName="[Measures].[Average of Bounce Rate]" caption="Average of Bounce Rate" measure="1" displayFolder="" measureGroup="Table1" count="0" hidden="1">
      <extLst>
        <ext xmlns:x15="http://schemas.microsoft.com/office/spreadsheetml/2010/11/main" uri="{B97F6D7D-B522-45F9-BDA1-12C45D357490}">
          <x15:cacheHierarchy aggregatedColumn="8"/>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Revenue Per Session]" caption="Sum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Average of Revenue Per Session]" caption="Average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Max of Conversion Rate (%)]" caption="Max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Pageviews]" caption="Sum of Pageviews" measure="1" displayFolder="" measureGroup="Table1" count="0" hidden="1">
      <extLst>
        <ext xmlns:x15="http://schemas.microsoft.com/office/spreadsheetml/2010/11/main" uri="{B97F6D7D-B522-45F9-BDA1-12C45D357490}">
          <x15:cacheHierarchy aggregatedColumn="9"/>
        </ext>
      </extLst>
    </cacheHierarchy>
    <cacheHierarchy uniqueName="[Measures].[Average of Pageviews]" caption="Average of Pageviews" measure="1" displayFolder="" measureGroup="Table1" count="0" hidden="1">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15"/>
        </ext>
      </extLst>
    </cacheHierarchy>
    <cacheHierarchy uniqueName="[Measures].[Count of Avg. Session Duration]" caption="Count of Avg. Session Duration" measure="1" displayFolder="" measureGroup="Table1" count="0" hidden="1">
      <extLst>
        <ext xmlns:x15="http://schemas.microsoft.com/office/spreadsheetml/2010/11/main" uri="{B97F6D7D-B522-45F9-BDA1-12C45D357490}">
          <x15:cacheHierarchy aggregatedColumn="10"/>
        </ext>
      </extLst>
    </cacheHierarchy>
    <cacheHierarchy uniqueName="[Measures].[Sum of User Retention Rate %]" caption="Sum of User Retention Rate %" measure="1" displayFolder="" measureGroup="Table1" count="0" hidden="1">
      <extLst>
        <ext xmlns:x15="http://schemas.microsoft.com/office/spreadsheetml/2010/11/main" uri="{B97F6D7D-B522-45F9-BDA1-12C45D357490}">
          <x15:cacheHierarchy aggregatedColumn="16"/>
        </ext>
      </extLst>
    </cacheHierarchy>
    <cacheHierarchy uniqueName="[Measures].[Sum of Returning Users]" caption="Sum of Returning Users" measure="1" displayFolder="" measureGroup="Table1" count="0" hidden="1">
      <extLst>
        <ext xmlns:x15="http://schemas.microsoft.com/office/spreadsheetml/2010/11/main" uri="{B97F6D7D-B522-45F9-BDA1-12C45D357490}">
          <x15:cacheHierarchy aggregatedColumn="6"/>
        </ext>
      </extLst>
    </cacheHierarchy>
    <cacheHierarchy uniqueName="[Measures].[Sum of New Users]" caption="Sum of New Users" measure="1" displayFolder="" measureGroup="Table1" count="0" hidden="1">
      <extLst>
        <ext xmlns:x15="http://schemas.microsoft.com/office/spreadsheetml/2010/11/main" uri="{B97F6D7D-B522-45F9-BDA1-12C45D357490}">
          <x15:cacheHierarchy aggregatedColumn="5"/>
        </ext>
      </extLst>
    </cacheHierarchy>
    <cacheHierarchy uniqueName="[Measures].[Sum of Revenue Per User]" caption="Sum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Per User]" caption="Average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Cost Per Conversion %]" caption="Count of Cost Per Conversion %" measure="1" displayFolder="" measureGroup="Table1" count="0" hidden="1">
      <extLst>
        <ext xmlns:x15="http://schemas.microsoft.com/office/spreadsheetml/2010/11/main" uri="{B97F6D7D-B522-45F9-BDA1-12C45D357490}">
          <x15:cacheHierarchy aggregatedColumn="20"/>
        </ext>
      </extLst>
    </cacheHierarchy>
    <cacheHierarchy uniqueName="[Measures].[Sum of Sessions]" caption="Sum of Sessions" measure="1" displayFolder="" measureGroup="Table1" count="0" hidden="1">
      <extLst>
        <ext xmlns:x15="http://schemas.microsoft.com/office/spreadsheetml/2010/11/main" uri="{B97F6D7D-B522-45F9-BDA1-12C45D357490}">
          <x15:cacheHierarchy aggregatedColumn="7"/>
        </ext>
      </extLst>
    </cacheHierarchy>
    <cacheHierarchy uniqueName="[Measures].[Count of Revenue Per Transactions]" caption="Count of Revenue Per Transactions"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esh Kedar" refreshedDate="45978.844685416669" backgroundQuery="1" createdVersion="8" refreshedVersion="8" minRefreshableVersion="3" recordCount="0" supportSubquery="1" supportAdvancedDrill="1" xr:uid="{AA893840-5832-4E63-A722-ADC5AB238054}">
  <cacheSource type="external" connectionId="1"/>
  <cacheFields count="2">
    <cacheField name="[Table1].[Date (Quarter)].[Date (Quarter)]" caption="Date (Quarter)" numFmtId="0" hierarchy="24" level="1">
      <sharedItems count="4">
        <s v="Qtr1"/>
        <s v="Qtr2"/>
        <s v="Qtr3"/>
        <s v="Qtr4"/>
      </sharedItems>
    </cacheField>
    <cacheField name="[Measures].[Sum of User Retention Rate %]" caption="Sum of User Retention Rate %" numFmtId="0" hierarchy="52" level="32767"/>
  </cacheFields>
  <cacheHierarchies count="61">
    <cacheHierarchy uniqueName="[Table1].[Source / Medium]" caption="Source / Medium" attribute="1" defaultMemberUniqueName="[Table1].[Source / Medium].[All]" allUniqueName="[Table1].[Source / Medium].[All]" dimensionUniqueName="[Table1]" displayFolder="" count="2" memberValueDatatype="130" unbalanced="0"/>
    <cacheHierarchy uniqueName="[Table1].[Year]" caption="Year" attribute="1" defaultMemberUniqueName="[Table1].[Year].[All]" allUniqueName="[Table1].[Year].[All]" dimensionUniqueName="[Table1]" displayFolder="" count="2" memberValueDatatype="20" unbalanced="0"/>
    <cacheHierarchy uniqueName="[Table1].[Date]" caption="Date" attribute="1" time="1" defaultMemberUniqueName="[Table1].[Date].[All]" allUniqueName="[Table1].[Date].[All]" dimensionUniqueName="[Table1]" displayFolder="" count="2" memberValueDatatype="7" unbalanced="0"/>
    <cacheHierarchy uniqueName="[Table1].[Month of the year]" caption="Month of the year" attribute="1" defaultMemberUniqueName="[Table1].[Month of the year].[All]" allUniqueName="[Table1].[Month of the year].[All]" dimensionUniqueName="[Table1]" displayFolder="" count="2" memberValueDatatype="20" unbalanced="0"/>
    <cacheHierarchy uniqueName="[Table1].[Users]" caption="Users" attribute="1" defaultMemberUniqueName="[Table1].[Users].[All]" allUniqueName="[Table1].[Users].[All]" dimensionUniqueName="[Table1]" displayFolder="" count="2" memberValueDatatype="20" unbalanced="0"/>
    <cacheHierarchy uniqueName="[Table1].[New Users]" caption="New Users" attribute="1" defaultMemberUniqueName="[Table1].[New Users].[All]" allUniqueName="[Table1].[New Users].[All]" dimensionUniqueName="[Table1]" displayFolder="" count="2" memberValueDatatype="20" unbalanced="0"/>
    <cacheHierarchy uniqueName="[Table1].[Returning Users]" caption="Returning Users" attribute="1" defaultMemberUniqueName="[Table1].[Returning Users].[All]" allUniqueName="[Table1].[Returning Users].[All]" dimensionUniqueName="[Table1]" displayFolder="" count="2" memberValueDatatype="20" unbalanced="0"/>
    <cacheHierarchy uniqueName="[Table1].[Sessions]" caption="Sessions" attribute="1" defaultMemberUniqueName="[Table1].[Sessions].[All]" allUniqueName="[Table1].[Sessions].[All]" dimensionUniqueName="[Table1]" displayFolder="" count="2" memberValueDatatype="20" unbalanced="0"/>
    <cacheHierarchy uniqueName="[Table1].[Bounce Rate]" caption="Bounce Rate" attribute="1" defaultMemberUniqueName="[Table1].[Bounce Rate].[All]" allUniqueName="[Table1].[Bounce Rate].[All]" dimensionUniqueName="[Table1]" displayFolder="" count="2" memberValueDatatype="5" unbalanced="0"/>
    <cacheHierarchy uniqueName="[Table1].[Pageviews]" caption="Pageviews" attribute="1" defaultMemberUniqueName="[Table1].[Pageviews].[All]" allUniqueName="[Table1].[Pageviews].[All]" dimensionUniqueName="[Table1]" displayFolder="" count="2" memberValueDatatype="20" unbalanced="0"/>
    <cacheHierarchy uniqueName="[Table1].[Avg. Session Duration]" caption="Avg. Session Duration" attribute="1" time="1" defaultMemberUniqueName="[Table1].[Avg. Session Duration].[All]" allUniqueName="[Table1].[Avg. Session Duration].[All]" dimensionUniqueName="[Table1]" displayFolder="" count="2" memberValueDatatype="7" unbalanced="0"/>
    <cacheHierarchy uniqueName="[Table1].[Avg PageViews/Session]" caption="Avg PageViews/Session" attribute="1" time="1" defaultMemberUniqueName="[Table1].[Avg PageViews/Session].[All]" allUniqueName="[Table1].[Avg PageViews/Session].[All]" dimensionUniqueName="[Table1]" displayFolder="" count="2" memberValueDatatype="7" unbalanced="0"/>
    <cacheHierarchy uniqueName="[Table1].[Conversion Rate (%)]" caption="Conversion Rate (%)" attribute="1" defaultMemberUniqueName="[Table1].[Conversion Rate (%)].[All]" allUniqueName="[Table1].[Conversion Rate (%)].[All]" dimensionUniqueName="[Table1]" displayFolder="" count="2" memberValueDatatype="5" unbalanced="0"/>
    <cacheHierarchy uniqueName="[Table1].[Transactions]" caption="Transactions" attribute="1" defaultMemberUniqueName="[Table1].[Transactions].[All]" allUniqueName="[Table1].[Transactions].[All]" dimensionUniqueName="[Table1]" displayFolder="" count="2" memberValueDatatype="20" unbalanced="0"/>
    <cacheHierarchy uniqueName="[Table1].[Revenue]" caption="Revenue" attribute="1" defaultMemberUniqueName="[Table1].[Revenue].[All]" allUniqueName="[Table1].[Revenue].[All]" dimensionUniqueName="[Table1]" displayFolder="" count="2" memberValueDatatype="20" unbalanced="0"/>
    <cacheHierarchy uniqueName="[Table1].[Quantity Sold]" caption="Quantity Sold" attribute="1" defaultMemberUniqueName="[Table1].[Quantity Sold].[All]" allUniqueName="[Table1].[Quantity Sold].[All]" dimensionUniqueName="[Table1]" displayFolder="" count="2" memberValueDatatype="20" unbalanced="0"/>
    <cacheHierarchy uniqueName="[Table1].[User Retention Rate %]" caption="User Retention Rate %" attribute="1" defaultMemberUniqueName="[Table1].[User Retention Rate %].[All]" allUniqueName="[Table1].[User Retention Rate %].[All]" dimensionUniqueName="[Table1]" displayFolder="" count="2" memberValueDatatype="5" unbalanced="0"/>
    <cacheHierarchy uniqueName="[Table1].[Revenue Per User]" caption="Revenue Per User" attribute="1" defaultMemberUniqueName="[Table1].[Revenue Per User].[All]" allUniqueName="[Table1].[Revenue Per User].[All]" dimensionUniqueName="[Table1]" displayFolder="" count="2" memberValueDatatype="5" unbalanced="0"/>
    <cacheHierarchy uniqueName="[Table1].[Revenue Per Session]" caption="Revenue Per Session" attribute="1" defaultMemberUniqueName="[Table1].[Revenue Per Session].[All]" allUniqueName="[Table1].[Revenue Per Session].[All]" dimensionUniqueName="[Table1]" displayFolder="" count="2" memberValueDatatype="5" unbalanced="0"/>
    <cacheHierarchy uniqueName="[Table1].[Revenue Per Transactions]" caption="Revenue Per Transactions" attribute="1" defaultMemberUniqueName="[Table1].[Revenue Per Transactions].[All]" allUniqueName="[Table1].[Revenue Per Transactions].[All]" dimensionUniqueName="[Table1]" displayFolder="" count="2" memberValueDatatype="130" unbalanced="0"/>
    <cacheHierarchy uniqueName="[Table1].[Cost Per Conversion %]" caption="Cost Per Conversion %" attribute="1" defaultMemberUniqueName="[Table1].[Cost Per Conversion %].[All]" allUniqueName="[Table1].[Cost Per Conversion %].[All]" dimensionUniqueName="[Table1]" displayFolder="" count="2" memberValueDatatype="130" unbalanced="0"/>
    <cacheHierarchy uniqueName="[Table1].[Average Conversion Rate in 2020]" caption="Average Conversion Rate in 2020" attribute="1" defaultMemberUniqueName="[Table1].[Average Conversion Rate in 2020].[All]" allUniqueName="[Table1].[Average Conversion Rate in 2020].[All]" dimensionUniqueName="[Table1]" displayFolder="" count="2" memberValueDatatype="5" unbalanced="0"/>
    <cacheHierarchy uniqueName="[Table1].[Average Conversion rate 2019]" caption="Average Conversion rate 2019" attribute="1" defaultMemberUniqueName="[Table1].[Average Conversion rate 2019].[All]" allUniqueName="[Table1].[Average Conversion rate 2019].[All]" dimensionUniqueName="[Table1]" displayFolder="" count="2" memberValueDatatype="5"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2" memberValueDatatype="130" unbalanced="0">
      <fieldsUsage count="2">
        <fieldUsage x="-1"/>
        <fieldUsage x="0"/>
      </fieldsUsage>
    </cacheHierarchy>
    <cacheHierarchy uniqueName="[Table1].[Date (Month)]" caption="Date (Month)" attribute="1" defaultMemberUniqueName="[Table1].[Date (Month)].[All]" allUniqueName="[Table1].[Date (Month)].[All]" dimensionUniqueName="[Table1]" displayFolder="" count="2" memberValueDatatype="130" unbalanced="0"/>
    <cacheHierarchy uniqueName="[Table4].[Average Conversion Rate in 2020]" caption="Average Conversion Rate in 2020" attribute="1" defaultMemberUniqueName="[Table4].[Average Conversion Rate in 2020].[All]" allUniqueName="[Table4].[Average Conversion Rate in 2020].[All]" dimensionUniqueName="[Table4]" displayFolder="" count="2" memberValueDatatype="5" unbalanced="0"/>
    <cacheHierarchy uniqueName="[Table4].[Average Conversion rate 2019]" caption="Average Conversion rate 2019" attribute="1" defaultMemberUniqueName="[Table4].[Average Conversion rate 2019].[All]" allUniqueName="[Table4].[Average Conversion rate 2019].[All]" dimensionUniqueName="[Table4]" displayFolder="" count="2" memberValueDatatype="5" unbalanced="0"/>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1"/>
        </ext>
      </extLst>
    </cacheHierarchy>
    <cacheHierarchy uniqueName="[Measures].[Sum of Users]" caption="Sum of Users" measure="1" displayFolder="" measureGroup="Table1" count="0" hidden="1">
      <extLst>
        <ext xmlns:x15="http://schemas.microsoft.com/office/spreadsheetml/2010/11/main" uri="{B97F6D7D-B522-45F9-BDA1-12C45D357490}">
          <x15:cacheHierarchy aggregatedColumn="4"/>
        </ext>
      </extLst>
    </cacheHierarchy>
    <cacheHierarchy uniqueName="[Measures].[Average of Users]" caption="Average of Users" measure="1" displayFolder="" measureGroup="Table1" count="0" hidden="1">
      <extLst>
        <ext xmlns:x15="http://schemas.microsoft.com/office/spreadsheetml/2010/11/main" uri="{B97F6D7D-B522-45F9-BDA1-12C45D357490}">
          <x15:cacheHierarchy aggregatedColumn="4"/>
        </ext>
      </extLst>
    </cacheHierarchy>
    <cacheHierarchy uniqueName="[Measures].[Sum of Transactions]" caption="Sum of Transactions" measure="1" displayFolder="" measureGroup="Table1" count="0" hidden="1">
      <extLst>
        <ext xmlns:x15="http://schemas.microsoft.com/office/spreadsheetml/2010/11/main" uri="{B97F6D7D-B522-45F9-BDA1-12C45D357490}">
          <x15:cacheHierarchy aggregatedColumn="13"/>
        </ext>
      </extLst>
    </cacheHierarchy>
    <cacheHierarchy uniqueName="[Measures].[Sum of Average Conversion Rate in 2020]" caption="Sum of Average Conversion Rate in 2020" measure="1" displayFolder="" measureGroup="Table4" count="0" hidden="1">
      <extLst>
        <ext xmlns:x15="http://schemas.microsoft.com/office/spreadsheetml/2010/11/main" uri="{B97F6D7D-B522-45F9-BDA1-12C45D357490}">
          <x15:cacheHierarchy aggregatedColumn="26"/>
        </ext>
      </extLst>
    </cacheHierarchy>
    <cacheHierarchy uniqueName="[Measures].[Sum of Average Conversion rate 2019]" caption="Sum of Average Conversion rate 2019" measure="1" displayFolder="" measureGroup="Table4" count="0" hidden="1">
      <extLst>
        <ext xmlns:x15="http://schemas.microsoft.com/office/spreadsheetml/2010/11/main" uri="{B97F6D7D-B522-45F9-BDA1-12C45D357490}">
          <x15:cacheHierarchy aggregatedColumn="27"/>
        </ext>
      </extLst>
    </cacheHierarchy>
    <cacheHierarchy uniqueName="[Measures].[Sum of Average Conversion Rate in 2020 2]" caption="Sum of Average Conversion Rate in 2020 2" measure="1" displayFolder="" measureGroup="Table1" count="0" hidden="1">
      <extLst>
        <ext xmlns:x15="http://schemas.microsoft.com/office/spreadsheetml/2010/11/main" uri="{B97F6D7D-B522-45F9-BDA1-12C45D357490}">
          <x15:cacheHierarchy aggregatedColumn="21"/>
        </ext>
      </extLst>
    </cacheHierarchy>
    <cacheHierarchy uniqueName="[Measures].[Sum of Average Conversion rate 2019 2]" caption="Sum of Average Conversion rate 2019 2" measure="1" displayFolder="" measureGroup="Table1"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Bounce Rate]" caption="Sum of Bounce Rate" measure="1" displayFolder="" measureGroup="Table1" count="0" hidden="1">
      <extLst>
        <ext xmlns:x15="http://schemas.microsoft.com/office/spreadsheetml/2010/11/main" uri="{B97F6D7D-B522-45F9-BDA1-12C45D357490}">
          <x15:cacheHierarchy aggregatedColumn="8"/>
        </ext>
      </extLst>
    </cacheHierarchy>
    <cacheHierarchy uniqueName="[Measures].[Average of Bounce Rate]" caption="Average of Bounce Rate" measure="1" displayFolder="" measureGroup="Table1" count="0" hidden="1">
      <extLst>
        <ext xmlns:x15="http://schemas.microsoft.com/office/spreadsheetml/2010/11/main" uri="{B97F6D7D-B522-45F9-BDA1-12C45D357490}">
          <x15:cacheHierarchy aggregatedColumn="8"/>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Revenue Per Session]" caption="Sum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Average of Revenue Per Session]" caption="Average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Max of Conversion Rate (%)]" caption="Max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Pageviews]" caption="Sum of Pageviews" measure="1" displayFolder="" measureGroup="Table1" count="0" hidden="1">
      <extLst>
        <ext xmlns:x15="http://schemas.microsoft.com/office/spreadsheetml/2010/11/main" uri="{B97F6D7D-B522-45F9-BDA1-12C45D357490}">
          <x15:cacheHierarchy aggregatedColumn="9"/>
        </ext>
      </extLst>
    </cacheHierarchy>
    <cacheHierarchy uniqueName="[Measures].[Average of Pageviews]" caption="Average of Pageviews" measure="1" displayFolder="" measureGroup="Table1" count="0" hidden="1">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15"/>
        </ext>
      </extLst>
    </cacheHierarchy>
    <cacheHierarchy uniqueName="[Measures].[Count of Avg. Session Duration]" caption="Count of Avg. Session Duration" measure="1" displayFolder="" measureGroup="Table1" count="0" hidden="1">
      <extLst>
        <ext xmlns:x15="http://schemas.microsoft.com/office/spreadsheetml/2010/11/main" uri="{B97F6D7D-B522-45F9-BDA1-12C45D357490}">
          <x15:cacheHierarchy aggregatedColumn="10"/>
        </ext>
      </extLst>
    </cacheHierarchy>
    <cacheHierarchy uniqueName="[Measures].[Sum of User Retention Rate %]" caption="Sum of User Retention Rate %"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Returning Users]" caption="Sum of Returning Users" measure="1" displayFolder="" measureGroup="Table1" count="0" hidden="1">
      <extLst>
        <ext xmlns:x15="http://schemas.microsoft.com/office/spreadsheetml/2010/11/main" uri="{B97F6D7D-B522-45F9-BDA1-12C45D357490}">
          <x15:cacheHierarchy aggregatedColumn="6"/>
        </ext>
      </extLst>
    </cacheHierarchy>
    <cacheHierarchy uniqueName="[Measures].[Sum of New Users]" caption="Sum of New Users" measure="1" displayFolder="" measureGroup="Table1" count="0" hidden="1">
      <extLst>
        <ext xmlns:x15="http://schemas.microsoft.com/office/spreadsheetml/2010/11/main" uri="{B97F6D7D-B522-45F9-BDA1-12C45D357490}">
          <x15:cacheHierarchy aggregatedColumn="5"/>
        </ext>
      </extLst>
    </cacheHierarchy>
    <cacheHierarchy uniqueName="[Measures].[Sum of Revenue Per User]" caption="Sum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Per User]" caption="Average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Cost Per Conversion %]" caption="Count of Cost Per Conversion %" measure="1" displayFolder="" measureGroup="Table1" count="0" hidden="1">
      <extLst>
        <ext xmlns:x15="http://schemas.microsoft.com/office/spreadsheetml/2010/11/main" uri="{B97F6D7D-B522-45F9-BDA1-12C45D357490}">
          <x15:cacheHierarchy aggregatedColumn="20"/>
        </ext>
      </extLst>
    </cacheHierarchy>
    <cacheHierarchy uniqueName="[Measures].[Sum of Sessions]" caption="Sum of Sessions" measure="1" displayFolder="" measureGroup="Table1" count="0" hidden="1">
      <extLst>
        <ext xmlns:x15="http://schemas.microsoft.com/office/spreadsheetml/2010/11/main" uri="{B97F6D7D-B522-45F9-BDA1-12C45D357490}">
          <x15:cacheHierarchy aggregatedColumn="7"/>
        </ext>
      </extLst>
    </cacheHierarchy>
    <cacheHierarchy uniqueName="[Measures].[Count of Revenue Per Transactions]" caption="Count of Revenue Per Transactions"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esh Kedar" refreshedDate="45978.844686111108" backgroundQuery="1" createdVersion="8" refreshedVersion="8" minRefreshableVersion="3" recordCount="0" supportSubquery="1" supportAdvancedDrill="1" xr:uid="{526D6CDF-3218-4BDC-94C4-3EAEA144BFCC}">
  <cacheSource type="external" connectionId="1"/>
  <cacheFields count="2">
    <cacheField name="[Table1].[Date (Quarter)].[Date (Quarter)]" caption="Date (Quarter)" numFmtId="0" hierarchy="24" level="1">
      <sharedItems count="4">
        <s v="Qtr1"/>
        <s v="Qtr2"/>
        <s v="Qtr3"/>
        <s v="Qtr4"/>
      </sharedItems>
    </cacheField>
    <cacheField name="[Measures].[Sum of Users]" caption="Sum of Users" numFmtId="0" hierarchy="33" level="32767"/>
  </cacheFields>
  <cacheHierarchies count="61">
    <cacheHierarchy uniqueName="[Table1].[Source / Medium]" caption="Source / Medium" attribute="1" defaultMemberUniqueName="[Table1].[Source / Medium].[All]" allUniqueName="[Table1].[Source / Medium].[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ate]" caption="Date" attribute="1" time="1" defaultMemberUniqueName="[Table1].[Date].[All]" allUniqueName="[Table1].[Date].[All]" dimensionUniqueName="[Table1]" displayFolder="" count="2" memberValueDatatype="7" unbalanced="0"/>
    <cacheHierarchy uniqueName="[Table1].[Month of the year]" caption="Month of the year" attribute="1" defaultMemberUniqueName="[Table1].[Month of the year].[All]" allUniqueName="[Table1].[Month of the year].[All]" dimensionUniqueName="[Table1]" displayFolder="" count="0" memberValueDatatype="20" unbalanced="0"/>
    <cacheHierarchy uniqueName="[Table1].[Users]" caption="Users" attribute="1" defaultMemberUniqueName="[Table1].[Users].[All]" allUniqueName="[Table1].[Users].[All]" dimensionUniqueName="[Table1]" displayFolder="" count="0" memberValueDatatype="20" unbalanced="0"/>
    <cacheHierarchy uniqueName="[Table1].[New Users]" caption="New Users" attribute="1" defaultMemberUniqueName="[Table1].[New Users].[All]" allUniqueName="[Table1].[New Users].[All]" dimensionUniqueName="[Table1]" displayFolder="" count="0" memberValueDatatype="20" unbalanced="0"/>
    <cacheHierarchy uniqueName="[Table1].[Returning Users]" caption="Returning Users" attribute="1" defaultMemberUniqueName="[Table1].[Returning Users].[All]" allUniqueName="[Table1].[Returning Users].[All]" dimensionUniqueName="[Table1]" displayFolder="" count="0" memberValueDatatype="20" unbalanced="0"/>
    <cacheHierarchy uniqueName="[Table1].[Sessions]" caption="Sessions" attribute="1" defaultMemberUniqueName="[Table1].[Sessions].[All]" allUniqueName="[Table1].[Sessions].[All]" dimensionUniqueName="[Table1]" displayFolder="" count="0" memberValueDatatype="20" unbalanced="0"/>
    <cacheHierarchy uniqueName="[Table1].[Bounce Rate]" caption="Bounce Rate" attribute="1" defaultMemberUniqueName="[Table1].[Bounce Rate].[All]" allUniqueName="[Table1].[Bounce Rate].[All]" dimensionUniqueName="[Table1]" displayFolder="" count="0" memberValueDatatype="5" unbalanced="0"/>
    <cacheHierarchy uniqueName="[Table1].[Pageviews]" caption="Pageviews" attribute="1" defaultMemberUniqueName="[Table1].[Pageviews].[All]" allUniqueName="[Table1].[Pageviews].[All]" dimensionUniqueName="[Table1]" displayFolder="" count="0" memberValueDatatype="20" unbalanced="0"/>
    <cacheHierarchy uniqueName="[Table1].[Avg. Session Duration]" caption="Avg. Session Duration" attribute="1" time="1" defaultMemberUniqueName="[Table1].[Avg. Session Duration].[All]" allUniqueName="[Table1].[Avg. Session Duration].[All]" dimensionUniqueName="[Table1]" displayFolder="" count="0" memberValueDatatype="7" unbalanced="0"/>
    <cacheHierarchy uniqueName="[Table1].[Avg PageViews/Session]" caption="Avg PageViews/Session" attribute="1" time="1" defaultMemberUniqueName="[Table1].[Avg PageViews/Session].[All]" allUniqueName="[Table1].[Avg PageViews/Session].[All]" dimensionUniqueName="[Table1]" displayFolder="" count="0" memberValueDatatype="7"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Transactions]" caption="Transactions" attribute="1" defaultMemberUniqueName="[Table1].[Transactions].[All]" allUniqueName="[Table1].[Transactions].[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ser Retention Rate %]" caption="User Retention Rate %" attribute="1" defaultMemberUniqueName="[Table1].[User Retention Rate %].[All]" allUniqueName="[Table1].[User Retention Rate %].[All]" dimensionUniqueName="[Table1]" displayFolder="" count="0" memberValueDatatype="5" unbalanced="0"/>
    <cacheHierarchy uniqueName="[Table1].[Revenue Per User]" caption="Revenue Per User" attribute="1" defaultMemberUniqueName="[Table1].[Revenue Per User].[All]" allUniqueName="[Table1].[Revenue Per User].[All]" dimensionUniqueName="[Table1]" displayFolder="" count="0" memberValueDatatype="5" unbalanced="0"/>
    <cacheHierarchy uniqueName="[Table1].[Revenue Per Session]" caption="Revenue Per Session" attribute="1" defaultMemberUniqueName="[Table1].[Revenue Per Session].[All]" allUniqueName="[Table1].[Revenue Per Session].[All]" dimensionUniqueName="[Table1]" displayFolder="" count="0" memberValueDatatype="5" unbalanced="0"/>
    <cacheHierarchy uniqueName="[Table1].[Revenue Per Transactions]" caption="Revenue Per Transactions" attribute="1" defaultMemberUniqueName="[Table1].[Revenue Per Transactions].[All]" allUniqueName="[Table1].[Revenue Per Transactions].[All]" dimensionUniqueName="[Table1]" displayFolder="" count="0" memberValueDatatype="130" unbalanced="0"/>
    <cacheHierarchy uniqueName="[Table1].[Cost Per Conversion %]" caption="Cost Per Conversion %" attribute="1" defaultMemberUniqueName="[Table1].[Cost Per Conversion %].[All]" allUniqueName="[Table1].[Cost Per Conversion %].[All]" dimensionUniqueName="[Table1]" displayFolder="" count="0" memberValueDatatype="130" unbalanced="0"/>
    <cacheHierarchy uniqueName="[Table1].[Average Conversion Rate in 2020]" caption="Average Conversion Rate in 2020" attribute="1" defaultMemberUniqueName="[Table1].[Average Conversion Rate in 2020].[All]" allUniqueName="[Table1].[Average Conversion Rate in 2020].[All]" dimensionUniqueName="[Table1]" displayFolder="" count="0" memberValueDatatype="5" unbalanced="0"/>
    <cacheHierarchy uniqueName="[Table1].[Average Conversion rate 2019]" caption="Average Conversion rate 2019" attribute="1" defaultMemberUniqueName="[Table1].[Average Conversion rate 2019].[All]" allUniqueName="[Table1].[Average Conversion rate 2019].[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2" memberValueDatatype="130" unbalanced="0">
      <fieldsUsage count="2">
        <fieldUsage x="-1"/>
        <fieldUsage x="0"/>
      </fieldsUsage>
    </cacheHierarchy>
    <cacheHierarchy uniqueName="[Table1].[Date (Month)]" caption="Date (Month)" attribute="1" defaultMemberUniqueName="[Table1].[Date (Month)].[All]" allUniqueName="[Table1].[Date (Month)].[All]" dimensionUniqueName="[Table1]" displayFolder="" count="0" memberValueDatatype="130" unbalanced="0"/>
    <cacheHierarchy uniqueName="[Table4].[Average Conversion Rate in 2020]" caption="Average Conversion Rate in 2020" attribute="1" defaultMemberUniqueName="[Table4].[Average Conversion Rate in 2020].[All]" allUniqueName="[Table4].[Average Conversion Rate in 2020].[All]" dimensionUniqueName="[Table4]" displayFolder="" count="0" memberValueDatatype="5" unbalanced="0"/>
    <cacheHierarchy uniqueName="[Table4].[Average Conversion rate 2019]" caption="Average Conversion rate 2019" attribute="1" defaultMemberUniqueName="[Table4].[Average Conversion rate 2019].[All]" allUniqueName="[Table4].[Average Conversion rate 2019].[All]" dimensionUniqueName="[Table4]"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1"/>
        </ext>
      </extLst>
    </cacheHierarchy>
    <cacheHierarchy uniqueName="[Measures].[Sum of Users]" caption="Sum of Users"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Users]" caption="Average of Users" measure="1" displayFolder="" measureGroup="Table1" count="0" hidden="1">
      <extLst>
        <ext xmlns:x15="http://schemas.microsoft.com/office/spreadsheetml/2010/11/main" uri="{B97F6D7D-B522-45F9-BDA1-12C45D357490}">
          <x15:cacheHierarchy aggregatedColumn="4"/>
        </ext>
      </extLst>
    </cacheHierarchy>
    <cacheHierarchy uniqueName="[Measures].[Sum of Transactions]" caption="Sum of Transactions" measure="1" displayFolder="" measureGroup="Table1" count="0" hidden="1">
      <extLst>
        <ext xmlns:x15="http://schemas.microsoft.com/office/spreadsheetml/2010/11/main" uri="{B97F6D7D-B522-45F9-BDA1-12C45D357490}">
          <x15:cacheHierarchy aggregatedColumn="13"/>
        </ext>
      </extLst>
    </cacheHierarchy>
    <cacheHierarchy uniqueName="[Measures].[Sum of Average Conversion Rate in 2020]" caption="Sum of Average Conversion Rate in 2020" measure="1" displayFolder="" measureGroup="Table4" count="0" hidden="1">
      <extLst>
        <ext xmlns:x15="http://schemas.microsoft.com/office/spreadsheetml/2010/11/main" uri="{B97F6D7D-B522-45F9-BDA1-12C45D357490}">
          <x15:cacheHierarchy aggregatedColumn="26"/>
        </ext>
      </extLst>
    </cacheHierarchy>
    <cacheHierarchy uniqueName="[Measures].[Sum of Average Conversion rate 2019]" caption="Sum of Average Conversion rate 2019" measure="1" displayFolder="" measureGroup="Table4" count="0" hidden="1">
      <extLst>
        <ext xmlns:x15="http://schemas.microsoft.com/office/spreadsheetml/2010/11/main" uri="{B97F6D7D-B522-45F9-BDA1-12C45D357490}">
          <x15:cacheHierarchy aggregatedColumn="27"/>
        </ext>
      </extLst>
    </cacheHierarchy>
    <cacheHierarchy uniqueName="[Measures].[Sum of Average Conversion Rate in 2020 2]" caption="Sum of Average Conversion Rate in 2020 2" measure="1" displayFolder="" measureGroup="Table1" count="0" hidden="1">
      <extLst>
        <ext xmlns:x15="http://schemas.microsoft.com/office/spreadsheetml/2010/11/main" uri="{B97F6D7D-B522-45F9-BDA1-12C45D357490}">
          <x15:cacheHierarchy aggregatedColumn="21"/>
        </ext>
      </extLst>
    </cacheHierarchy>
    <cacheHierarchy uniqueName="[Measures].[Sum of Average Conversion rate 2019 2]" caption="Sum of Average Conversion rate 2019 2" measure="1" displayFolder="" measureGroup="Table1"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Bounce Rate]" caption="Sum of Bounce Rate" measure="1" displayFolder="" measureGroup="Table1" count="0" hidden="1">
      <extLst>
        <ext xmlns:x15="http://schemas.microsoft.com/office/spreadsheetml/2010/11/main" uri="{B97F6D7D-B522-45F9-BDA1-12C45D357490}">
          <x15:cacheHierarchy aggregatedColumn="8"/>
        </ext>
      </extLst>
    </cacheHierarchy>
    <cacheHierarchy uniqueName="[Measures].[Average of Bounce Rate]" caption="Average of Bounce Rate" measure="1" displayFolder="" measureGroup="Table1" count="0" hidden="1">
      <extLst>
        <ext xmlns:x15="http://schemas.microsoft.com/office/spreadsheetml/2010/11/main" uri="{B97F6D7D-B522-45F9-BDA1-12C45D357490}">
          <x15:cacheHierarchy aggregatedColumn="8"/>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Revenue Per Session]" caption="Sum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Average of Revenue Per Session]" caption="Average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Max of Conversion Rate (%)]" caption="Max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Pageviews]" caption="Sum of Pageviews" measure="1" displayFolder="" measureGroup="Table1" count="0" hidden="1">
      <extLst>
        <ext xmlns:x15="http://schemas.microsoft.com/office/spreadsheetml/2010/11/main" uri="{B97F6D7D-B522-45F9-BDA1-12C45D357490}">
          <x15:cacheHierarchy aggregatedColumn="9"/>
        </ext>
      </extLst>
    </cacheHierarchy>
    <cacheHierarchy uniqueName="[Measures].[Average of Pageviews]" caption="Average of Pageviews" measure="1" displayFolder="" measureGroup="Table1" count="0" hidden="1">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15"/>
        </ext>
      </extLst>
    </cacheHierarchy>
    <cacheHierarchy uniqueName="[Measures].[Count of Avg. Session Duration]" caption="Count of Avg. Session Duration" measure="1" displayFolder="" measureGroup="Table1" count="0" hidden="1">
      <extLst>
        <ext xmlns:x15="http://schemas.microsoft.com/office/spreadsheetml/2010/11/main" uri="{B97F6D7D-B522-45F9-BDA1-12C45D357490}">
          <x15:cacheHierarchy aggregatedColumn="10"/>
        </ext>
      </extLst>
    </cacheHierarchy>
    <cacheHierarchy uniqueName="[Measures].[Sum of User Retention Rate %]" caption="Sum of User Retention Rate %" measure="1" displayFolder="" measureGroup="Table1" count="0" hidden="1">
      <extLst>
        <ext xmlns:x15="http://schemas.microsoft.com/office/spreadsheetml/2010/11/main" uri="{B97F6D7D-B522-45F9-BDA1-12C45D357490}">
          <x15:cacheHierarchy aggregatedColumn="16"/>
        </ext>
      </extLst>
    </cacheHierarchy>
    <cacheHierarchy uniqueName="[Measures].[Sum of Returning Users]" caption="Sum of Returning Users" measure="1" displayFolder="" measureGroup="Table1" count="0" hidden="1">
      <extLst>
        <ext xmlns:x15="http://schemas.microsoft.com/office/spreadsheetml/2010/11/main" uri="{B97F6D7D-B522-45F9-BDA1-12C45D357490}">
          <x15:cacheHierarchy aggregatedColumn="6"/>
        </ext>
      </extLst>
    </cacheHierarchy>
    <cacheHierarchy uniqueName="[Measures].[Sum of New Users]" caption="Sum of New Users" measure="1" displayFolder="" measureGroup="Table1" count="0" hidden="1">
      <extLst>
        <ext xmlns:x15="http://schemas.microsoft.com/office/spreadsheetml/2010/11/main" uri="{B97F6D7D-B522-45F9-BDA1-12C45D357490}">
          <x15:cacheHierarchy aggregatedColumn="5"/>
        </ext>
      </extLst>
    </cacheHierarchy>
    <cacheHierarchy uniqueName="[Measures].[Sum of Revenue Per User]" caption="Sum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Per User]" caption="Average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Cost Per Conversion %]" caption="Count of Cost Per Conversion %" measure="1" displayFolder="" measureGroup="Table1" count="0" hidden="1">
      <extLst>
        <ext xmlns:x15="http://schemas.microsoft.com/office/spreadsheetml/2010/11/main" uri="{B97F6D7D-B522-45F9-BDA1-12C45D357490}">
          <x15:cacheHierarchy aggregatedColumn="20"/>
        </ext>
      </extLst>
    </cacheHierarchy>
    <cacheHierarchy uniqueName="[Measures].[Sum of Sessions]" caption="Sum of Sessions" measure="1" displayFolder="" measureGroup="Table1" count="0" hidden="1">
      <extLst>
        <ext xmlns:x15="http://schemas.microsoft.com/office/spreadsheetml/2010/11/main" uri="{B97F6D7D-B522-45F9-BDA1-12C45D357490}">
          <x15:cacheHierarchy aggregatedColumn="7"/>
        </ext>
      </extLst>
    </cacheHierarchy>
    <cacheHierarchy uniqueName="[Measures].[Count of Revenue Per Transactions]" caption="Count of Revenue Per Transactions"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esh Kedar" refreshedDate="45978.844686458331" backgroundQuery="1" createdVersion="8" refreshedVersion="8" minRefreshableVersion="3" recordCount="0" supportSubquery="1" supportAdvancedDrill="1" xr:uid="{7178E6A4-C650-452B-81BB-36F15411EDAB}">
  <cacheSource type="external" connectionId="1"/>
  <cacheFields count="2">
    <cacheField name="[Table1].[Year].[Year]" caption="Year" numFmtId="0" hierarchy="1" level="1">
      <sharedItems containsSemiMixedTypes="0" containsString="0" containsNumber="1" containsInteger="1" minValue="2019" maxValue="2020" count="2">
        <n v="2019"/>
        <n v="2020"/>
      </sharedItems>
      <extLst>
        <ext xmlns:x15="http://schemas.microsoft.com/office/spreadsheetml/2010/11/main" uri="{4F2E5C28-24EA-4eb8-9CBF-B6C8F9C3D259}">
          <x15:cachedUniqueNames>
            <x15:cachedUniqueName index="0" name="[Table1].[Year].&amp;[2019]"/>
            <x15:cachedUniqueName index="1" name="[Table1].[Year].&amp;[2020]"/>
          </x15:cachedUniqueNames>
        </ext>
      </extLst>
    </cacheField>
    <cacheField name="[Measures].[Sum of Users]" caption="Sum of Users" numFmtId="0" hierarchy="33" level="32767"/>
  </cacheFields>
  <cacheHierarchies count="61">
    <cacheHierarchy uniqueName="[Table1].[Source / Medium]" caption="Source / Medium" attribute="1" defaultMemberUniqueName="[Table1].[Source / Medium].[All]" allUniqueName="[Table1].[Source / Medium].[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Table1].[Date]" caption="Date" attribute="1" time="1" defaultMemberUniqueName="[Table1].[Date].[All]" allUniqueName="[Table1].[Date].[All]" dimensionUniqueName="[Table1]" displayFolder="" count="2" memberValueDatatype="7" unbalanced="0"/>
    <cacheHierarchy uniqueName="[Table1].[Month of the year]" caption="Month of the year" attribute="1" defaultMemberUniqueName="[Table1].[Month of the year].[All]" allUniqueName="[Table1].[Month of the year].[All]" dimensionUniqueName="[Table1]" displayFolder="" count="0" memberValueDatatype="20" unbalanced="0"/>
    <cacheHierarchy uniqueName="[Table1].[Users]" caption="Users" attribute="1" defaultMemberUniqueName="[Table1].[Users].[All]" allUniqueName="[Table1].[Users].[All]" dimensionUniqueName="[Table1]" displayFolder="" count="0" memberValueDatatype="20" unbalanced="0"/>
    <cacheHierarchy uniqueName="[Table1].[New Users]" caption="New Users" attribute="1" defaultMemberUniqueName="[Table1].[New Users].[All]" allUniqueName="[Table1].[New Users].[All]" dimensionUniqueName="[Table1]" displayFolder="" count="0" memberValueDatatype="20" unbalanced="0"/>
    <cacheHierarchy uniqueName="[Table1].[Returning Users]" caption="Returning Users" attribute="1" defaultMemberUniqueName="[Table1].[Returning Users].[All]" allUniqueName="[Table1].[Returning Users].[All]" dimensionUniqueName="[Table1]" displayFolder="" count="0" memberValueDatatype="20" unbalanced="0"/>
    <cacheHierarchy uniqueName="[Table1].[Sessions]" caption="Sessions" attribute="1" defaultMemberUniqueName="[Table1].[Sessions].[All]" allUniqueName="[Table1].[Sessions].[All]" dimensionUniqueName="[Table1]" displayFolder="" count="0" memberValueDatatype="20" unbalanced="0"/>
    <cacheHierarchy uniqueName="[Table1].[Bounce Rate]" caption="Bounce Rate" attribute="1" defaultMemberUniqueName="[Table1].[Bounce Rate].[All]" allUniqueName="[Table1].[Bounce Rate].[All]" dimensionUniqueName="[Table1]" displayFolder="" count="0" memberValueDatatype="5" unbalanced="0"/>
    <cacheHierarchy uniqueName="[Table1].[Pageviews]" caption="Pageviews" attribute="1" defaultMemberUniqueName="[Table1].[Pageviews].[All]" allUniqueName="[Table1].[Pageviews].[All]" dimensionUniqueName="[Table1]" displayFolder="" count="0" memberValueDatatype="20" unbalanced="0"/>
    <cacheHierarchy uniqueName="[Table1].[Avg. Session Duration]" caption="Avg. Session Duration" attribute="1" time="1" defaultMemberUniqueName="[Table1].[Avg. Session Duration].[All]" allUniqueName="[Table1].[Avg. Session Duration].[All]" dimensionUniqueName="[Table1]" displayFolder="" count="0" memberValueDatatype="7" unbalanced="0"/>
    <cacheHierarchy uniqueName="[Table1].[Avg PageViews/Session]" caption="Avg PageViews/Session" attribute="1" time="1" defaultMemberUniqueName="[Table1].[Avg PageViews/Session].[All]" allUniqueName="[Table1].[Avg PageViews/Session].[All]" dimensionUniqueName="[Table1]" displayFolder="" count="0" memberValueDatatype="7"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Transactions]" caption="Transactions" attribute="1" defaultMemberUniqueName="[Table1].[Transactions].[All]" allUniqueName="[Table1].[Transactions].[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ser Retention Rate %]" caption="User Retention Rate %" attribute="1" defaultMemberUniqueName="[Table1].[User Retention Rate %].[All]" allUniqueName="[Table1].[User Retention Rate %].[All]" dimensionUniqueName="[Table1]" displayFolder="" count="0" memberValueDatatype="5" unbalanced="0"/>
    <cacheHierarchy uniqueName="[Table1].[Revenue Per User]" caption="Revenue Per User" attribute="1" defaultMemberUniqueName="[Table1].[Revenue Per User].[All]" allUniqueName="[Table1].[Revenue Per User].[All]" dimensionUniqueName="[Table1]" displayFolder="" count="0" memberValueDatatype="5" unbalanced="0"/>
    <cacheHierarchy uniqueName="[Table1].[Revenue Per Session]" caption="Revenue Per Session" attribute="1" defaultMemberUniqueName="[Table1].[Revenue Per Session].[All]" allUniqueName="[Table1].[Revenue Per Session].[All]" dimensionUniqueName="[Table1]" displayFolder="" count="0" memberValueDatatype="5" unbalanced="0"/>
    <cacheHierarchy uniqueName="[Table1].[Revenue Per Transactions]" caption="Revenue Per Transactions" attribute="1" defaultMemberUniqueName="[Table1].[Revenue Per Transactions].[All]" allUniqueName="[Table1].[Revenue Per Transactions].[All]" dimensionUniqueName="[Table1]" displayFolder="" count="0" memberValueDatatype="130" unbalanced="0"/>
    <cacheHierarchy uniqueName="[Table1].[Cost Per Conversion %]" caption="Cost Per Conversion %" attribute="1" defaultMemberUniqueName="[Table1].[Cost Per Conversion %].[All]" allUniqueName="[Table1].[Cost Per Conversion %].[All]" dimensionUniqueName="[Table1]" displayFolder="" count="0" memberValueDatatype="130" unbalanced="0"/>
    <cacheHierarchy uniqueName="[Table1].[Average Conversion Rate in 2020]" caption="Average Conversion Rate in 2020" attribute="1" defaultMemberUniqueName="[Table1].[Average Conversion Rate in 2020].[All]" allUniqueName="[Table1].[Average Conversion Rate in 2020].[All]" dimensionUniqueName="[Table1]" displayFolder="" count="0" memberValueDatatype="5" unbalanced="0"/>
    <cacheHierarchy uniqueName="[Table1].[Average Conversion rate 2019]" caption="Average Conversion rate 2019" attribute="1" defaultMemberUniqueName="[Table1].[Average Conversion rate 2019].[All]" allUniqueName="[Table1].[Average Conversion rate 2019].[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4].[Average Conversion Rate in 2020]" caption="Average Conversion Rate in 2020" attribute="1" defaultMemberUniqueName="[Table4].[Average Conversion Rate in 2020].[All]" allUniqueName="[Table4].[Average Conversion Rate in 2020].[All]" dimensionUniqueName="[Table4]" displayFolder="" count="0" memberValueDatatype="5" unbalanced="0"/>
    <cacheHierarchy uniqueName="[Table4].[Average Conversion rate 2019]" caption="Average Conversion rate 2019" attribute="1" defaultMemberUniqueName="[Table4].[Average Conversion rate 2019].[All]" allUniqueName="[Table4].[Average Conversion rate 2019].[All]" dimensionUniqueName="[Table4]"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1"/>
        </ext>
      </extLst>
    </cacheHierarchy>
    <cacheHierarchy uniqueName="[Measures].[Sum of Users]" caption="Sum of Users"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Users]" caption="Average of Users" measure="1" displayFolder="" measureGroup="Table1" count="0" hidden="1">
      <extLst>
        <ext xmlns:x15="http://schemas.microsoft.com/office/spreadsheetml/2010/11/main" uri="{B97F6D7D-B522-45F9-BDA1-12C45D357490}">
          <x15:cacheHierarchy aggregatedColumn="4"/>
        </ext>
      </extLst>
    </cacheHierarchy>
    <cacheHierarchy uniqueName="[Measures].[Sum of Transactions]" caption="Sum of Transactions" measure="1" displayFolder="" measureGroup="Table1" count="0" hidden="1">
      <extLst>
        <ext xmlns:x15="http://schemas.microsoft.com/office/spreadsheetml/2010/11/main" uri="{B97F6D7D-B522-45F9-BDA1-12C45D357490}">
          <x15:cacheHierarchy aggregatedColumn="13"/>
        </ext>
      </extLst>
    </cacheHierarchy>
    <cacheHierarchy uniqueName="[Measures].[Sum of Average Conversion Rate in 2020]" caption="Sum of Average Conversion Rate in 2020" measure="1" displayFolder="" measureGroup="Table4" count="0" hidden="1">
      <extLst>
        <ext xmlns:x15="http://schemas.microsoft.com/office/spreadsheetml/2010/11/main" uri="{B97F6D7D-B522-45F9-BDA1-12C45D357490}">
          <x15:cacheHierarchy aggregatedColumn="26"/>
        </ext>
      </extLst>
    </cacheHierarchy>
    <cacheHierarchy uniqueName="[Measures].[Sum of Average Conversion rate 2019]" caption="Sum of Average Conversion rate 2019" measure="1" displayFolder="" measureGroup="Table4" count="0" hidden="1">
      <extLst>
        <ext xmlns:x15="http://schemas.microsoft.com/office/spreadsheetml/2010/11/main" uri="{B97F6D7D-B522-45F9-BDA1-12C45D357490}">
          <x15:cacheHierarchy aggregatedColumn="27"/>
        </ext>
      </extLst>
    </cacheHierarchy>
    <cacheHierarchy uniqueName="[Measures].[Sum of Average Conversion Rate in 2020 2]" caption="Sum of Average Conversion Rate in 2020 2" measure="1" displayFolder="" measureGroup="Table1" count="0" hidden="1">
      <extLst>
        <ext xmlns:x15="http://schemas.microsoft.com/office/spreadsheetml/2010/11/main" uri="{B97F6D7D-B522-45F9-BDA1-12C45D357490}">
          <x15:cacheHierarchy aggregatedColumn="21"/>
        </ext>
      </extLst>
    </cacheHierarchy>
    <cacheHierarchy uniqueName="[Measures].[Sum of Average Conversion rate 2019 2]" caption="Sum of Average Conversion rate 2019 2" measure="1" displayFolder="" measureGroup="Table1"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Bounce Rate]" caption="Sum of Bounce Rate" measure="1" displayFolder="" measureGroup="Table1" count="0" hidden="1">
      <extLst>
        <ext xmlns:x15="http://schemas.microsoft.com/office/spreadsheetml/2010/11/main" uri="{B97F6D7D-B522-45F9-BDA1-12C45D357490}">
          <x15:cacheHierarchy aggregatedColumn="8"/>
        </ext>
      </extLst>
    </cacheHierarchy>
    <cacheHierarchy uniqueName="[Measures].[Average of Bounce Rate]" caption="Average of Bounce Rate" measure="1" displayFolder="" measureGroup="Table1" count="0" hidden="1">
      <extLst>
        <ext xmlns:x15="http://schemas.microsoft.com/office/spreadsheetml/2010/11/main" uri="{B97F6D7D-B522-45F9-BDA1-12C45D357490}">
          <x15:cacheHierarchy aggregatedColumn="8"/>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Revenue Per Session]" caption="Sum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Average of Revenue Per Session]" caption="Average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Max of Conversion Rate (%)]" caption="Max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Pageviews]" caption="Sum of Pageviews" measure="1" displayFolder="" measureGroup="Table1" count="0" hidden="1">
      <extLst>
        <ext xmlns:x15="http://schemas.microsoft.com/office/spreadsheetml/2010/11/main" uri="{B97F6D7D-B522-45F9-BDA1-12C45D357490}">
          <x15:cacheHierarchy aggregatedColumn="9"/>
        </ext>
      </extLst>
    </cacheHierarchy>
    <cacheHierarchy uniqueName="[Measures].[Average of Pageviews]" caption="Average of Pageviews" measure="1" displayFolder="" measureGroup="Table1" count="0" hidden="1">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15"/>
        </ext>
      </extLst>
    </cacheHierarchy>
    <cacheHierarchy uniqueName="[Measures].[Count of Avg. Session Duration]" caption="Count of Avg. Session Duration" measure="1" displayFolder="" measureGroup="Table1" count="0" hidden="1">
      <extLst>
        <ext xmlns:x15="http://schemas.microsoft.com/office/spreadsheetml/2010/11/main" uri="{B97F6D7D-B522-45F9-BDA1-12C45D357490}">
          <x15:cacheHierarchy aggregatedColumn="10"/>
        </ext>
      </extLst>
    </cacheHierarchy>
    <cacheHierarchy uniqueName="[Measures].[Sum of User Retention Rate %]" caption="Sum of User Retention Rate %" measure="1" displayFolder="" measureGroup="Table1" count="0" hidden="1">
      <extLst>
        <ext xmlns:x15="http://schemas.microsoft.com/office/spreadsheetml/2010/11/main" uri="{B97F6D7D-B522-45F9-BDA1-12C45D357490}">
          <x15:cacheHierarchy aggregatedColumn="16"/>
        </ext>
      </extLst>
    </cacheHierarchy>
    <cacheHierarchy uniqueName="[Measures].[Sum of Returning Users]" caption="Sum of Returning Users" measure="1" displayFolder="" measureGroup="Table1" count="0" hidden="1">
      <extLst>
        <ext xmlns:x15="http://schemas.microsoft.com/office/spreadsheetml/2010/11/main" uri="{B97F6D7D-B522-45F9-BDA1-12C45D357490}">
          <x15:cacheHierarchy aggregatedColumn="6"/>
        </ext>
      </extLst>
    </cacheHierarchy>
    <cacheHierarchy uniqueName="[Measures].[Sum of New Users]" caption="Sum of New Users" measure="1" displayFolder="" measureGroup="Table1" count="0" hidden="1">
      <extLst>
        <ext xmlns:x15="http://schemas.microsoft.com/office/spreadsheetml/2010/11/main" uri="{B97F6D7D-B522-45F9-BDA1-12C45D357490}">
          <x15:cacheHierarchy aggregatedColumn="5"/>
        </ext>
      </extLst>
    </cacheHierarchy>
    <cacheHierarchy uniqueName="[Measures].[Sum of Revenue Per User]" caption="Sum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Per User]" caption="Average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Cost Per Conversion %]" caption="Count of Cost Per Conversion %" measure="1" displayFolder="" measureGroup="Table1" count="0" hidden="1">
      <extLst>
        <ext xmlns:x15="http://schemas.microsoft.com/office/spreadsheetml/2010/11/main" uri="{B97F6D7D-B522-45F9-BDA1-12C45D357490}">
          <x15:cacheHierarchy aggregatedColumn="20"/>
        </ext>
      </extLst>
    </cacheHierarchy>
    <cacheHierarchy uniqueName="[Measures].[Sum of Sessions]" caption="Sum of Sessions" measure="1" displayFolder="" measureGroup="Table1" count="0" hidden="1">
      <extLst>
        <ext xmlns:x15="http://schemas.microsoft.com/office/spreadsheetml/2010/11/main" uri="{B97F6D7D-B522-45F9-BDA1-12C45D357490}">
          <x15:cacheHierarchy aggregatedColumn="7"/>
        </ext>
      </extLst>
    </cacheHierarchy>
    <cacheHierarchy uniqueName="[Measures].[Count of Revenue Per Transactions]" caption="Count of Revenue Per Transactions" measure="1" displayFolder="" measureGroup="Table1"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esh Kedar" refreshedDate="45978.791595949071" backgroundQuery="1" createdVersion="3" refreshedVersion="8" minRefreshableVersion="3" recordCount="0" supportSubquery="1" supportAdvancedDrill="1" xr:uid="{F2F1EEFD-15BC-4FC8-BFAF-1C04882960A9}">
  <cacheSource type="external" connectionId="1">
    <extLst>
      <ext xmlns:x14="http://schemas.microsoft.com/office/spreadsheetml/2009/9/main" uri="{F057638F-6D5F-4e77-A914-E7F072B9BCA8}">
        <x14:sourceConnection name="ThisWorkbookDataModel"/>
      </ext>
    </extLst>
  </cacheSource>
  <cacheFields count="0"/>
  <cacheHierarchies count="61">
    <cacheHierarchy uniqueName="[Table1].[Source / Medium]" caption="Source / Medium" attribute="1" defaultMemberUniqueName="[Table1].[Source / Medium].[All]" allUniqueName="[Table1].[Source / Medium].[All]" dimensionUniqueName="[Table1]" displayFolder="" count="2" memberValueDatatype="130" unbalanced="0"/>
    <cacheHierarchy uniqueName="[Table1].[Year]" caption="Year" attribute="1" defaultMemberUniqueName="[Table1].[Year].[All]" allUniqueName="[Table1].[Year].[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Month of the year]" caption="Month of the year" attribute="1" defaultMemberUniqueName="[Table1].[Month of the year].[All]" allUniqueName="[Table1].[Month of the year].[All]" dimensionUniqueName="[Table1]" displayFolder="" count="0" memberValueDatatype="20" unbalanced="0"/>
    <cacheHierarchy uniqueName="[Table1].[Users]" caption="Users" attribute="1" defaultMemberUniqueName="[Table1].[Users].[All]" allUniqueName="[Table1].[Users].[All]" dimensionUniqueName="[Table1]" displayFolder="" count="0" memberValueDatatype="20" unbalanced="0"/>
    <cacheHierarchy uniqueName="[Table1].[New Users]" caption="New Users" attribute="1" defaultMemberUniqueName="[Table1].[New Users].[All]" allUniqueName="[Table1].[New Users].[All]" dimensionUniqueName="[Table1]" displayFolder="" count="0" memberValueDatatype="20" unbalanced="0"/>
    <cacheHierarchy uniqueName="[Table1].[Returning Users]" caption="Returning Users" attribute="1" defaultMemberUniqueName="[Table1].[Returning Users].[All]" allUniqueName="[Table1].[Returning Users].[All]" dimensionUniqueName="[Table1]" displayFolder="" count="0" memberValueDatatype="20" unbalanced="0"/>
    <cacheHierarchy uniqueName="[Table1].[Sessions]" caption="Sessions" attribute="1" defaultMemberUniqueName="[Table1].[Sessions].[All]" allUniqueName="[Table1].[Sessions].[All]" dimensionUniqueName="[Table1]" displayFolder="" count="0" memberValueDatatype="20" unbalanced="0"/>
    <cacheHierarchy uniqueName="[Table1].[Bounce Rate]" caption="Bounce Rate" attribute="1" defaultMemberUniqueName="[Table1].[Bounce Rate].[All]" allUniqueName="[Table1].[Bounce Rate].[All]" dimensionUniqueName="[Table1]" displayFolder="" count="0" memberValueDatatype="5" unbalanced="0"/>
    <cacheHierarchy uniqueName="[Table1].[Pageviews]" caption="Pageviews" attribute="1" defaultMemberUniqueName="[Table1].[Pageviews].[All]" allUniqueName="[Table1].[Pageviews].[All]" dimensionUniqueName="[Table1]" displayFolder="" count="0" memberValueDatatype="20" unbalanced="0"/>
    <cacheHierarchy uniqueName="[Table1].[Avg. Session Duration]" caption="Avg. Session Duration" attribute="1" time="1" defaultMemberUniqueName="[Table1].[Avg. Session Duration].[All]" allUniqueName="[Table1].[Avg. Session Duration].[All]" dimensionUniqueName="[Table1]" displayFolder="" count="0" memberValueDatatype="7" unbalanced="0"/>
    <cacheHierarchy uniqueName="[Table1].[Avg PageViews/Session]" caption="Avg PageViews/Session" attribute="1" time="1" defaultMemberUniqueName="[Table1].[Avg PageViews/Session].[All]" allUniqueName="[Table1].[Avg PageViews/Session].[All]" dimensionUniqueName="[Table1]" displayFolder="" count="0" memberValueDatatype="7"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Transactions]" caption="Transactions" attribute="1" defaultMemberUniqueName="[Table1].[Transactions].[All]" allUniqueName="[Table1].[Transactions].[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ser Retention Rate %]" caption="User Retention Rate %" attribute="1" defaultMemberUniqueName="[Table1].[User Retention Rate %].[All]" allUniqueName="[Table1].[User Retention Rate %].[All]" dimensionUniqueName="[Table1]" displayFolder="" count="0" memberValueDatatype="5" unbalanced="0"/>
    <cacheHierarchy uniqueName="[Table1].[Revenue Per User]" caption="Revenue Per User" attribute="1" defaultMemberUniqueName="[Table1].[Revenue Per User].[All]" allUniqueName="[Table1].[Revenue Per User].[All]" dimensionUniqueName="[Table1]" displayFolder="" count="0" memberValueDatatype="5" unbalanced="0"/>
    <cacheHierarchy uniqueName="[Table1].[Revenue Per Session]" caption="Revenue Per Session" attribute="1" defaultMemberUniqueName="[Table1].[Revenue Per Session].[All]" allUniqueName="[Table1].[Revenue Per Session].[All]" dimensionUniqueName="[Table1]" displayFolder="" count="0" memberValueDatatype="5" unbalanced="0"/>
    <cacheHierarchy uniqueName="[Table1].[Revenue Per Transactions]" caption="Revenue Per Transactions" attribute="1" defaultMemberUniqueName="[Table1].[Revenue Per Transactions].[All]" allUniqueName="[Table1].[Revenue Per Transactions].[All]" dimensionUniqueName="[Table1]" displayFolder="" count="0" memberValueDatatype="130" unbalanced="0"/>
    <cacheHierarchy uniqueName="[Table1].[Cost Per Conversion %]" caption="Cost Per Conversion %" attribute="1" defaultMemberUniqueName="[Table1].[Cost Per Conversion %].[All]" allUniqueName="[Table1].[Cost Per Conversion %].[All]" dimensionUniqueName="[Table1]" displayFolder="" count="0" memberValueDatatype="130" unbalanced="0"/>
    <cacheHierarchy uniqueName="[Table1].[Average Conversion Rate in 2020]" caption="Average Conversion Rate in 2020" attribute="1" defaultMemberUniqueName="[Table1].[Average Conversion Rate in 2020].[All]" allUniqueName="[Table1].[Average Conversion Rate in 2020].[All]" dimensionUniqueName="[Table1]" displayFolder="" count="0" memberValueDatatype="5" unbalanced="0"/>
    <cacheHierarchy uniqueName="[Table1].[Average Conversion rate 2019]" caption="Average Conversion rate 2019" attribute="1" defaultMemberUniqueName="[Table1].[Average Conversion rate 2019].[All]" allUniqueName="[Table1].[Average Conversion rate 2019].[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4].[Average Conversion Rate in 2020]" caption="Average Conversion Rate in 2020" attribute="1" defaultMemberUniqueName="[Table4].[Average Conversion Rate in 2020].[All]" allUniqueName="[Table4].[Average Conversion Rate in 2020].[All]" dimensionUniqueName="[Table4]" displayFolder="" count="0" memberValueDatatype="5" unbalanced="0"/>
    <cacheHierarchy uniqueName="[Table4].[Average Conversion rate 2019]" caption="Average Conversion rate 2019" attribute="1" defaultMemberUniqueName="[Table4].[Average Conversion rate 2019].[All]" allUniqueName="[Table4].[Average Conversion rate 2019].[All]" dimensionUniqueName="[Table4]"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1"/>
        </ext>
      </extLst>
    </cacheHierarchy>
    <cacheHierarchy uniqueName="[Measures].[Sum of Users]" caption="Sum of Users" measure="1" displayFolder="" measureGroup="Table1" count="0" hidden="1">
      <extLst>
        <ext xmlns:x15="http://schemas.microsoft.com/office/spreadsheetml/2010/11/main" uri="{B97F6D7D-B522-45F9-BDA1-12C45D357490}">
          <x15:cacheHierarchy aggregatedColumn="4"/>
        </ext>
      </extLst>
    </cacheHierarchy>
    <cacheHierarchy uniqueName="[Measures].[Average of Users]" caption="Average of Users" measure="1" displayFolder="" measureGroup="Table1" count="0" hidden="1">
      <extLst>
        <ext xmlns:x15="http://schemas.microsoft.com/office/spreadsheetml/2010/11/main" uri="{B97F6D7D-B522-45F9-BDA1-12C45D357490}">
          <x15:cacheHierarchy aggregatedColumn="4"/>
        </ext>
      </extLst>
    </cacheHierarchy>
    <cacheHierarchy uniqueName="[Measures].[Sum of Transactions]" caption="Sum of Transactions" measure="1" displayFolder="" measureGroup="Table1" count="0" hidden="1">
      <extLst>
        <ext xmlns:x15="http://schemas.microsoft.com/office/spreadsheetml/2010/11/main" uri="{B97F6D7D-B522-45F9-BDA1-12C45D357490}">
          <x15:cacheHierarchy aggregatedColumn="13"/>
        </ext>
      </extLst>
    </cacheHierarchy>
    <cacheHierarchy uniqueName="[Measures].[Sum of Average Conversion Rate in 2020]" caption="Sum of Average Conversion Rate in 2020" measure="1" displayFolder="" measureGroup="Table4" count="0" hidden="1">
      <extLst>
        <ext xmlns:x15="http://schemas.microsoft.com/office/spreadsheetml/2010/11/main" uri="{B97F6D7D-B522-45F9-BDA1-12C45D357490}">
          <x15:cacheHierarchy aggregatedColumn="26"/>
        </ext>
      </extLst>
    </cacheHierarchy>
    <cacheHierarchy uniqueName="[Measures].[Sum of Average Conversion rate 2019]" caption="Sum of Average Conversion rate 2019" measure="1" displayFolder="" measureGroup="Table4" count="0" hidden="1">
      <extLst>
        <ext xmlns:x15="http://schemas.microsoft.com/office/spreadsheetml/2010/11/main" uri="{B97F6D7D-B522-45F9-BDA1-12C45D357490}">
          <x15:cacheHierarchy aggregatedColumn="27"/>
        </ext>
      </extLst>
    </cacheHierarchy>
    <cacheHierarchy uniqueName="[Measures].[Sum of Average Conversion Rate in 2020 2]" caption="Sum of Average Conversion Rate in 2020 2" measure="1" displayFolder="" measureGroup="Table1" count="0" hidden="1">
      <extLst>
        <ext xmlns:x15="http://schemas.microsoft.com/office/spreadsheetml/2010/11/main" uri="{B97F6D7D-B522-45F9-BDA1-12C45D357490}">
          <x15:cacheHierarchy aggregatedColumn="21"/>
        </ext>
      </extLst>
    </cacheHierarchy>
    <cacheHierarchy uniqueName="[Measures].[Sum of Average Conversion rate 2019 2]" caption="Sum of Average Conversion rate 2019 2" measure="1" displayFolder="" measureGroup="Table1"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Bounce Rate]" caption="Sum of Bounce Rate" measure="1" displayFolder="" measureGroup="Table1" count="0" hidden="1">
      <extLst>
        <ext xmlns:x15="http://schemas.microsoft.com/office/spreadsheetml/2010/11/main" uri="{B97F6D7D-B522-45F9-BDA1-12C45D357490}">
          <x15:cacheHierarchy aggregatedColumn="8"/>
        </ext>
      </extLst>
    </cacheHierarchy>
    <cacheHierarchy uniqueName="[Measures].[Average of Bounce Rate]" caption="Average of Bounce Rate" measure="1" displayFolder="" measureGroup="Table1" count="0" hidden="1">
      <extLst>
        <ext xmlns:x15="http://schemas.microsoft.com/office/spreadsheetml/2010/11/main" uri="{B97F6D7D-B522-45F9-BDA1-12C45D357490}">
          <x15:cacheHierarchy aggregatedColumn="8"/>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Revenue Per Session]" caption="Sum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Average of Revenue Per Session]" caption="Average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Max of Conversion Rate (%)]" caption="Max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Pageviews]" caption="Sum of Pageviews" measure="1" displayFolder="" measureGroup="Table1" count="0" hidden="1">
      <extLst>
        <ext xmlns:x15="http://schemas.microsoft.com/office/spreadsheetml/2010/11/main" uri="{B97F6D7D-B522-45F9-BDA1-12C45D357490}">
          <x15:cacheHierarchy aggregatedColumn="9"/>
        </ext>
      </extLst>
    </cacheHierarchy>
    <cacheHierarchy uniqueName="[Measures].[Average of Pageviews]" caption="Average of Pageviews" measure="1" displayFolder="" measureGroup="Table1" count="0" hidden="1">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15"/>
        </ext>
      </extLst>
    </cacheHierarchy>
    <cacheHierarchy uniqueName="[Measures].[Count of Avg. Session Duration]" caption="Count of Avg. Session Duration" measure="1" displayFolder="" measureGroup="Table1" count="0" hidden="1">
      <extLst>
        <ext xmlns:x15="http://schemas.microsoft.com/office/spreadsheetml/2010/11/main" uri="{B97F6D7D-B522-45F9-BDA1-12C45D357490}">
          <x15:cacheHierarchy aggregatedColumn="10"/>
        </ext>
      </extLst>
    </cacheHierarchy>
    <cacheHierarchy uniqueName="[Measures].[Sum of User Retention Rate %]" caption="Sum of User Retention Rate %" measure="1" displayFolder="" measureGroup="Table1" count="0" hidden="1">
      <extLst>
        <ext xmlns:x15="http://schemas.microsoft.com/office/spreadsheetml/2010/11/main" uri="{B97F6D7D-B522-45F9-BDA1-12C45D357490}">
          <x15:cacheHierarchy aggregatedColumn="16"/>
        </ext>
      </extLst>
    </cacheHierarchy>
    <cacheHierarchy uniqueName="[Measures].[Sum of Returning Users]" caption="Sum of Returning Users" measure="1" displayFolder="" measureGroup="Table1" count="0" hidden="1">
      <extLst>
        <ext xmlns:x15="http://schemas.microsoft.com/office/spreadsheetml/2010/11/main" uri="{B97F6D7D-B522-45F9-BDA1-12C45D357490}">
          <x15:cacheHierarchy aggregatedColumn="6"/>
        </ext>
      </extLst>
    </cacheHierarchy>
    <cacheHierarchy uniqueName="[Measures].[Sum of New Users]" caption="Sum of New Users" measure="1" displayFolder="" measureGroup="Table1" count="0" hidden="1">
      <extLst>
        <ext xmlns:x15="http://schemas.microsoft.com/office/spreadsheetml/2010/11/main" uri="{B97F6D7D-B522-45F9-BDA1-12C45D357490}">
          <x15:cacheHierarchy aggregatedColumn="5"/>
        </ext>
      </extLst>
    </cacheHierarchy>
    <cacheHierarchy uniqueName="[Measures].[Sum of Revenue Per User]" caption="Sum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Per User]" caption="Average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Cost Per Conversion %]" caption="Count of Cost Per Conversion %" measure="1" displayFolder="" measureGroup="Table1" count="0" hidden="1">
      <extLst>
        <ext xmlns:x15="http://schemas.microsoft.com/office/spreadsheetml/2010/11/main" uri="{B97F6D7D-B522-45F9-BDA1-12C45D357490}">
          <x15:cacheHierarchy aggregatedColumn="20"/>
        </ext>
      </extLst>
    </cacheHierarchy>
    <cacheHierarchy uniqueName="[Measures].[Sum of Sessions]" caption="Sum of Sessions" measure="1" displayFolder="" measureGroup="Table1" count="0" hidden="1">
      <extLst>
        <ext xmlns:x15="http://schemas.microsoft.com/office/spreadsheetml/2010/11/main" uri="{B97F6D7D-B522-45F9-BDA1-12C45D357490}">
          <x15:cacheHierarchy aggregatedColumn="7"/>
        </ext>
      </extLst>
    </cacheHierarchy>
    <cacheHierarchy uniqueName="[Measures].[Count of Revenue Per Transactions]" caption="Count of Revenue Per Transactions" measure="1" displayFolder="" measureGroup="Table1"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624448162"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esh Kedar" refreshedDate="45978.649578819444" backgroundQuery="1" createdVersion="3" refreshedVersion="8" minRefreshableVersion="3" recordCount="0" supportSubquery="1" supportAdvancedDrill="1" xr:uid="{4034CA17-4814-483D-B12D-1BCF252D1CBB}">
  <cacheSource type="external" connectionId="1">
    <extLst>
      <ext xmlns:x14="http://schemas.microsoft.com/office/spreadsheetml/2009/9/main" uri="{F057638F-6D5F-4e77-A914-E7F072B9BCA8}">
        <x14:sourceConnection name="ThisWorkbookDataModel"/>
      </ext>
    </extLst>
  </cacheSource>
  <cacheFields count="0"/>
  <cacheHierarchies count="61">
    <cacheHierarchy uniqueName="[Table1].[Source / Medium]" caption="Source / Medium" attribute="1" defaultMemberUniqueName="[Table1].[Source / Medium].[All]" allUniqueName="[Table1].[Source / Medium].[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Date]" caption="Date" attribute="1" time="1" defaultMemberUniqueName="[Table1].[Date].[All]" allUniqueName="[Table1].[Date].[All]" dimensionUniqueName="[Table1]" displayFolder="" count="2" memberValueDatatype="7" unbalanced="0"/>
    <cacheHierarchy uniqueName="[Table1].[Month of the year]" caption="Month of the year" attribute="1" defaultMemberUniqueName="[Table1].[Month of the year].[All]" allUniqueName="[Table1].[Month of the year].[All]" dimensionUniqueName="[Table1]" displayFolder="" count="0" memberValueDatatype="20" unbalanced="0"/>
    <cacheHierarchy uniqueName="[Table1].[Users]" caption="Users" attribute="1" defaultMemberUniqueName="[Table1].[Users].[All]" allUniqueName="[Table1].[Users].[All]" dimensionUniqueName="[Table1]" displayFolder="" count="0" memberValueDatatype="20" unbalanced="0"/>
    <cacheHierarchy uniqueName="[Table1].[New Users]" caption="New Users" attribute="1" defaultMemberUniqueName="[Table1].[New Users].[All]" allUniqueName="[Table1].[New Users].[All]" dimensionUniqueName="[Table1]" displayFolder="" count="0" memberValueDatatype="20" unbalanced="0"/>
    <cacheHierarchy uniqueName="[Table1].[Returning Users]" caption="Returning Users" attribute="1" defaultMemberUniqueName="[Table1].[Returning Users].[All]" allUniqueName="[Table1].[Returning Users].[All]" dimensionUniqueName="[Table1]" displayFolder="" count="0" memberValueDatatype="20" unbalanced="0"/>
    <cacheHierarchy uniqueName="[Table1].[Sessions]" caption="Sessions" attribute="1" defaultMemberUniqueName="[Table1].[Sessions].[All]" allUniqueName="[Table1].[Sessions].[All]" dimensionUniqueName="[Table1]" displayFolder="" count="0" memberValueDatatype="20" unbalanced="0"/>
    <cacheHierarchy uniqueName="[Table1].[Bounce Rate]" caption="Bounce Rate" attribute="1" defaultMemberUniqueName="[Table1].[Bounce Rate].[All]" allUniqueName="[Table1].[Bounce Rate].[All]" dimensionUniqueName="[Table1]" displayFolder="" count="0" memberValueDatatype="5" unbalanced="0"/>
    <cacheHierarchy uniqueName="[Table1].[Pageviews]" caption="Pageviews" attribute="1" defaultMemberUniqueName="[Table1].[Pageviews].[All]" allUniqueName="[Table1].[Pageviews].[All]" dimensionUniqueName="[Table1]" displayFolder="" count="0" memberValueDatatype="20" unbalanced="0"/>
    <cacheHierarchy uniqueName="[Table1].[Avg. Session Duration]" caption="Avg. Session Duration" attribute="1" time="1" defaultMemberUniqueName="[Table1].[Avg. Session Duration].[All]" allUniqueName="[Table1].[Avg. Session Duration].[All]" dimensionUniqueName="[Table1]" displayFolder="" count="0" memberValueDatatype="7" unbalanced="0"/>
    <cacheHierarchy uniqueName="[Table1].[Avg PageViews/Session]" caption="Avg PageViews/Session" attribute="1" time="1" defaultMemberUniqueName="[Table1].[Avg PageViews/Session].[All]" allUniqueName="[Table1].[Avg PageViews/Session].[All]" dimensionUniqueName="[Table1]" displayFolder="" count="0" memberValueDatatype="7"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Transactions]" caption="Transactions" attribute="1" defaultMemberUniqueName="[Table1].[Transactions].[All]" allUniqueName="[Table1].[Transactions].[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ser Retention Rate %]" caption="User Retention Rate %" attribute="1" defaultMemberUniqueName="[Table1].[User Retention Rate %].[All]" allUniqueName="[Table1].[User Retention Rate %].[All]" dimensionUniqueName="[Table1]" displayFolder="" count="0" memberValueDatatype="5" unbalanced="0"/>
    <cacheHierarchy uniqueName="[Table1].[Revenue Per User]" caption="Revenue Per User" attribute="1" defaultMemberUniqueName="[Table1].[Revenue Per User].[All]" allUniqueName="[Table1].[Revenue Per User].[All]" dimensionUniqueName="[Table1]" displayFolder="" count="0" memberValueDatatype="5" unbalanced="0"/>
    <cacheHierarchy uniqueName="[Table1].[Revenue Per Session]" caption="Revenue Per Session" attribute="1" defaultMemberUniqueName="[Table1].[Revenue Per Session].[All]" allUniqueName="[Table1].[Revenue Per Session].[All]" dimensionUniqueName="[Table1]" displayFolder="" count="0" memberValueDatatype="5" unbalanced="0"/>
    <cacheHierarchy uniqueName="[Table1].[Revenue Per Transactions]" caption="Revenue Per Transactions" attribute="1" defaultMemberUniqueName="[Table1].[Revenue Per Transactions].[All]" allUniqueName="[Table1].[Revenue Per Transactions].[All]" dimensionUniqueName="[Table1]" displayFolder="" count="0" memberValueDatatype="130" unbalanced="0"/>
    <cacheHierarchy uniqueName="[Table1].[Cost Per Conversion %]" caption="Cost Per Conversion %" attribute="1" defaultMemberUniqueName="[Table1].[Cost Per Conversion %].[All]" allUniqueName="[Table1].[Cost Per Conversion %].[All]" dimensionUniqueName="[Table1]" displayFolder="" count="0" memberValueDatatype="130" unbalanced="0"/>
    <cacheHierarchy uniqueName="[Table1].[Average Conversion Rate in 2020]" caption="Average Conversion Rate in 2020" attribute="1" defaultMemberUniqueName="[Table1].[Average Conversion Rate in 2020].[All]" allUniqueName="[Table1].[Average Conversion Rate in 2020].[All]" dimensionUniqueName="[Table1]" displayFolder="" count="0" memberValueDatatype="5" unbalanced="0"/>
    <cacheHierarchy uniqueName="[Table1].[Average Conversion rate 2019]" caption="Average Conversion rate 2019" attribute="1" defaultMemberUniqueName="[Table1].[Average Conversion rate 2019].[All]" allUniqueName="[Table1].[Average Conversion rate 2019].[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4].[Average Conversion Rate in 2020]" caption="Average Conversion Rate in 2020" attribute="1" defaultMemberUniqueName="[Table4].[Average Conversion Rate in 2020].[All]" allUniqueName="[Table4].[Average Conversion Rate in 2020].[All]" dimensionUniqueName="[Table4]" displayFolder="" count="0" memberValueDatatype="5" unbalanced="0"/>
    <cacheHierarchy uniqueName="[Table4].[Average Conversion rate 2019]" caption="Average Conversion rate 2019" attribute="1" defaultMemberUniqueName="[Table4].[Average Conversion rate 2019].[All]" allUniqueName="[Table4].[Average Conversion rate 2019].[All]" dimensionUniqueName="[Table4]"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Year]" caption="Sum of Year" measure="1" displayFolder="" measureGroup="Table1" count="0" hidden="1">
      <extLst>
        <ext xmlns:x15="http://schemas.microsoft.com/office/spreadsheetml/2010/11/main" uri="{B97F6D7D-B522-45F9-BDA1-12C45D357490}">
          <x15:cacheHierarchy aggregatedColumn="1"/>
        </ext>
      </extLst>
    </cacheHierarchy>
    <cacheHierarchy uniqueName="[Measures].[Sum of Users]" caption="Sum of Users" measure="1" displayFolder="" measureGroup="Table1" count="0" hidden="1">
      <extLst>
        <ext xmlns:x15="http://schemas.microsoft.com/office/spreadsheetml/2010/11/main" uri="{B97F6D7D-B522-45F9-BDA1-12C45D357490}">
          <x15:cacheHierarchy aggregatedColumn="4"/>
        </ext>
      </extLst>
    </cacheHierarchy>
    <cacheHierarchy uniqueName="[Measures].[Average of Users]" caption="Average of Users" measure="1" displayFolder="" measureGroup="Table1" count="0" hidden="1">
      <extLst>
        <ext xmlns:x15="http://schemas.microsoft.com/office/spreadsheetml/2010/11/main" uri="{B97F6D7D-B522-45F9-BDA1-12C45D357490}">
          <x15:cacheHierarchy aggregatedColumn="4"/>
        </ext>
      </extLst>
    </cacheHierarchy>
    <cacheHierarchy uniqueName="[Measures].[Sum of Transactions]" caption="Sum of Transactions" measure="1" displayFolder="" measureGroup="Table1" count="0" hidden="1">
      <extLst>
        <ext xmlns:x15="http://schemas.microsoft.com/office/spreadsheetml/2010/11/main" uri="{B97F6D7D-B522-45F9-BDA1-12C45D357490}">
          <x15:cacheHierarchy aggregatedColumn="13"/>
        </ext>
      </extLst>
    </cacheHierarchy>
    <cacheHierarchy uniqueName="[Measures].[Sum of Average Conversion Rate in 2020]" caption="Sum of Average Conversion Rate in 2020" measure="1" displayFolder="" measureGroup="Table4" count="0" hidden="1">
      <extLst>
        <ext xmlns:x15="http://schemas.microsoft.com/office/spreadsheetml/2010/11/main" uri="{B97F6D7D-B522-45F9-BDA1-12C45D357490}">
          <x15:cacheHierarchy aggregatedColumn="26"/>
        </ext>
      </extLst>
    </cacheHierarchy>
    <cacheHierarchy uniqueName="[Measures].[Sum of Average Conversion rate 2019]" caption="Sum of Average Conversion rate 2019" measure="1" displayFolder="" measureGroup="Table4" count="0" hidden="1">
      <extLst>
        <ext xmlns:x15="http://schemas.microsoft.com/office/spreadsheetml/2010/11/main" uri="{B97F6D7D-B522-45F9-BDA1-12C45D357490}">
          <x15:cacheHierarchy aggregatedColumn="27"/>
        </ext>
      </extLst>
    </cacheHierarchy>
    <cacheHierarchy uniqueName="[Measures].[Sum of Average Conversion Rate in 2020 2]" caption="Sum of Average Conversion Rate in 2020 2" measure="1" displayFolder="" measureGroup="Table1" count="0" hidden="1">
      <extLst>
        <ext xmlns:x15="http://schemas.microsoft.com/office/spreadsheetml/2010/11/main" uri="{B97F6D7D-B522-45F9-BDA1-12C45D357490}">
          <x15:cacheHierarchy aggregatedColumn="21"/>
        </ext>
      </extLst>
    </cacheHierarchy>
    <cacheHierarchy uniqueName="[Measures].[Sum of Average Conversion rate 2019 2]" caption="Sum of Average Conversion rate 2019 2" measure="1" displayFolder="" measureGroup="Table1"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Bounce Rate]" caption="Sum of Bounce Rate" measure="1" displayFolder="" measureGroup="Table1" count="0" hidden="1">
      <extLst>
        <ext xmlns:x15="http://schemas.microsoft.com/office/spreadsheetml/2010/11/main" uri="{B97F6D7D-B522-45F9-BDA1-12C45D357490}">
          <x15:cacheHierarchy aggregatedColumn="8"/>
        </ext>
      </extLst>
    </cacheHierarchy>
    <cacheHierarchy uniqueName="[Measures].[Average of Bounce Rate]" caption="Average of Bounce Rate" measure="1" displayFolder="" measureGroup="Table1" count="0" hidden="1">
      <extLst>
        <ext xmlns:x15="http://schemas.microsoft.com/office/spreadsheetml/2010/11/main" uri="{B97F6D7D-B522-45F9-BDA1-12C45D357490}">
          <x15:cacheHierarchy aggregatedColumn="8"/>
        </ext>
      </extLst>
    </cacheHierarchy>
    <cacheHierarchy uniqueName="[Measures].[Sum of Conversion Rate (%)]" caption="Sum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Average of Conversion Rate (%)]" caption="Average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Revenue Per Session]" caption="Sum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Average of Revenue Per Session]" caption="Average of Revenue Per Session" measure="1" displayFolder="" measureGroup="Table1" count="0" hidden="1">
      <extLst>
        <ext xmlns:x15="http://schemas.microsoft.com/office/spreadsheetml/2010/11/main" uri="{B97F6D7D-B522-45F9-BDA1-12C45D357490}">
          <x15:cacheHierarchy aggregatedColumn="18"/>
        </ext>
      </extLst>
    </cacheHierarchy>
    <cacheHierarchy uniqueName="[Measures].[Max of Conversion Rate (%)]" caption="Max of Conversion Rate (%)" measure="1" displayFolder="" measureGroup="Table1" count="0" hidden="1">
      <extLst>
        <ext xmlns:x15="http://schemas.microsoft.com/office/spreadsheetml/2010/11/main" uri="{B97F6D7D-B522-45F9-BDA1-12C45D357490}">
          <x15:cacheHierarchy aggregatedColumn="12"/>
        </ext>
      </extLst>
    </cacheHierarchy>
    <cacheHierarchy uniqueName="[Measures].[Sum of Pageviews]" caption="Sum of Pageviews" measure="1" displayFolder="" measureGroup="Table1" count="0" hidden="1">
      <extLst>
        <ext xmlns:x15="http://schemas.microsoft.com/office/spreadsheetml/2010/11/main" uri="{B97F6D7D-B522-45F9-BDA1-12C45D357490}">
          <x15:cacheHierarchy aggregatedColumn="9"/>
        </ext>
      </extLst>
    </cacheHierarchy>
    <cacheHierarchy uniqueName="[Measures].[Average of Pageviews]" caption="Average of Pageviews" measure="1" displayFolder="" measureGroup="Table1" count="0" hidden="1">
      <extLst>
        <ext xmlns:x15="http://schemas.microsoft.com/office/spreadsheetml/2010/11/main" uri="{B97F6D7D-B522-45F9-BDA1-12C45D357490}">
          <x15:cacheHierarchy aggregatedColumn="9"/>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15"/>
        </ext>
      </extLst>
    </cacheHierarchy>
    <cacheHierarchy uniqueName="[Measures].[Count of Avg. Session Duration]" caption="Count of Avg. Session Duration" measure="1" displayFolder="" measureGroup="Table1" count="0" hidden="1">
      <extLst>
        <ext xmlns:x15="http://schemas.microsoft.com/office/spreadsheetml/2010/11/main" uri="{B97F6D7D-B522-45F9-BDA1-12C45D357490}">
          <x15:cacheHierarchy aggregatedColumn="10"/>
        </ext>
      </extLst>
    </cacheHierarchy>
    <cacheHierarchy uniqueName="[Measures].[Sum of User Retention Rate %]" caption="Sum of User Retention Rate %" measure="1" displayFolder="" measureGroup="Table1" count="0" hidden="1">
      <extLst>
        <ext xmlns:x15="http://schemas.microsoft.com/office/spreadsheetml/2010/11/main" uri="{B97F6D7D-B522-45F9-BDA1-12C45D357490}">
          <x15:cacheHierarchy aggregatedColumn="16"/>
        </ext>
      </extLst>
    </cacheHierarchy>
    <cacheHierarchy uniqueName="[Measures].[Sum of Returning Users]" caption="Sum of Returning Users" measure="1" displayFolder="" measureGroup="Table1" count="0" hidden="1">
      <extLst>
        <ext xmlns:x15="http://schemas.microsoft.com/office/spreadsheetml/2010/11/main" uri="{B97F6D7D-B522-45F9-BDA1-12C45D357490}">
          <x15:cacheHierarchy aggregatedColumn="6"/>
        </ext>
      </extLst>
    </cacheHierarchy>
    <cacheHierarchy uniqueName="[Measures].[Sum of New Users]" caption="Sum of New Users" measure="1" displayFolder="" measureGroup="Table1" count="0" hidden="1">
      <extLst>
        <ext xmlns:x15="http://schemas.microsoft.com/office/spreadsheetml/2010/11/main" uri="{B97F6D7D-B522-45F9-BDA1-12C45D357490}">
          <x15:cacheHierarchy aggregatedColumn="5"/>
        </ext>
      </extLst>
    </cacheHierarchy>
    <cacheHierarchy uniqueName="[Measures].[Sum of Revenue Per User]" caption="Sum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Per User]" caption="Average of Revenue Per User" measure="1" displayFolder="" measureGroup="Table1"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Table1" count="0" hidden="1">
      <extLst>
        <ext xmlns:x15="http://schemas.microsoft.com/office/spreadsheetml/2010/11/main" uri="{B97F6D7D-B522-45F9-BDA1-12C45D357490}">
          <x15:cacheHierarchy aggregatedColumn="14"/>
        </ext>
      </extLst>
    </cacheHierarchy>
    <cacheHierarchy uniqueName="[Measures].[Count of Cost Per Conversion %]" caption="Count of Cost Per Conversion %" measure="1" displayFolder="" measureGroup="Table1" count="0" hidden="1">
      <extLst>
        <ext xmlns:x15="http://schemas.microsoft.com/office/spreadsheetml/2010/11/main" uri="{B97F6D7D-B522-45F9-BDA1-12C45D357490}">
          <x15:cacheHierarchy aggregatedColumn="20"/>
        </ext>
      </extLst>
    </cacheHierarchy>
    <cacheHierarchy uniqueName="[Measures].[Sum of Sessions]" caption="Sum of Sessions" measure="1" displayFolder="" measureGroup="Table1" count="0" hidden="1">
      <extLst>
        <ext xmlns:x15="http://schemas.microsoft.com/office/spreadsheetml/2010/11/main" uri="{B97F6D7D-B522-45F9-BDA1-12C45D357490}">
          <x15:cacheHierarchy aggregatedColumn="7"/>
        </ext>
      </extLst>
    </cacheHierarchy>
    <cacheHierarchy uniqueName="[Measures].[Count of Revenue Per Transactions]" caption="Count of Revenue Per Transactions" measure="1" displayFolder="" measureGroup="Table1"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pivotCacheId="138144287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C8508B-7E76-4DC8-88C6-02114062BE77}" name="PivotTable24" cacheId="417" applyNumberFormats="0" applyBorderFormats="0" applyFontFormats="0" applyPatternFormats="0" applyAlignmentFormats="0" applyWidthHeightFormats="1" dataCaption="Values" updatedVersion="8" minRefreshableVersion="5" useAutoFormatting="1" subtotalHiddenItems="1" rowGrandTotals="0" itemPrintTitles="1" createdVersion="8" indent="0" outline="1" outlineData="1" multipleFieldFilters="0" rowHeaderCaption="Source">
  <location ref="N36:N37" firstHeaderRow="1" firstDataRow="1" firstDataCol="0"/>
  <pivotFields count="1">
    <pivotField dataField="1" subtotalTop="0" showAll="0" defaultSubtotal="0"/>
  </pivotFields>
  <rowItems count="1">
    <i/>
  </rowItems>
  <colItems count="1">
    <i/>
  </colItems>
  <dataFields count="1">
    <dataField name="Max of Conversion Rate (%)" fld="0" subtotal="max" baseField="0" baseItem="0"/>
  </dataFields>
  <formats count="1">
    <format dxfId="191">
      <pivotArea outline="0" collapsedLevelsAreSubtotals="1" fieldPosition="0"/>
    </format>
  </formats>
  <pivotHierarchies count="6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Users"/>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onversion Rate (%)"/>
    <pivotHierarchy dragToData="1"/>
    <pivotHierarchy dragToData="1"/>
    <pivotHierarchy dragToData="1" caption="Max of Conversion Rat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3C3227-6169-4785-AFB5-BE1D4BBD7776}" name="PivotTable26" cacheId="423" applyNumberFormats="0" applyBorderFormats="0" applyFontFormats="0" applyPatternFormats="0" applyAlignmentFormats="0" applyWidthHeightFormats="1" dataCaption="Values" updatedVersion="8" minRefreshableVersion="5" useAutoFormatting="1" subtotalHiddenItems="1" rowGrandTotals="0" itemPrintTitles="1" createdVersion="8" indent="0" outline="1" outlineData="1" multipleFieldFilters="0" rowHeaderCaption="Source">
  <location ref="M43:N55"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2">
    <i>
      <x/>
    </i>
    <i>
      <x v="1"/>
    </i>
    <i>
      <x v="2"/>
    </i>
    <i>
      <x v="3"/>
    </i>
    <i>
      <x v="4"/>
    </i>
    <i>
      <x v="5"/>
    </i>
    <i>
      <x v="6"/>
    </i>
    <i>
      <x v="7"/>
    </i>
    <i>
      <x v="8"/>
    </i>
    <i>
      <x v="9"/>
    </i>
    <i>
      <x v="10"/>
    </i>
    <i>
      <x v="11"/>
    </i>
  </rowItems>
  <colItems count="1">
    <i/>
  </colItems>
  <dataFields count="1">
    <dataField name="Average of Pageviews" fld="1" subtotal="average" baseField="0" baseItem="0" numFmtId="172"/>
  </dataFields>
  <formats count="1">
    <format dxfId="192">
      <pivotArea outline="0" collapsedLevelsAreSubtotals="1" fieldPosition="0"/>
    </format>
  </formats>
  <pivotHierarchies count="6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Users"/>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onversion Rate (%)"/>
    <pivotHierarchy dragToData="1"/>
    <pivotHierarchy dragToData="1"/>
    <pivotHierarchy dragToData="1" caption="Max of Conversion Rate (%)"/>
    <pivotHierarchy dragToData="1"/>
    <pivotHierarchy dragToData="1" caption="Average of Pageview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3C6B1E-4019-40A0-A058-B15FB20A25B4}" name="PivotTable19" cacheId="40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9" rowHeaderCaption="Year">
  <location ref="J14:L17"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name="Sum of Users" fld="1" baseField="0" baseItem="0"/>
    <dataField name="Sum of Revenue" fld="2" baseField="0" baseItem="0"/>
  </dataFields>
  <formats count="1">
    <format dxfId="193">
      <pivotArea outline="0" collapsedLevelsAreSubtotals="1" fieldPosition="0"/>
    </format>
  </formats>
  <pivotHierarchies count="6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Us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eb Analytic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A850EC-4930-4E7A-86F6-649E4D666AC9}" name="PivotTable20" cacheId="411" applyNumberFormats="0" applyBorderFormats="0" applyFontFormats="0" applyPatternFormats="0" applyAlignmentFormats="0" applyWidthHeightFormats="1" dataCaption="Values" updatedVersion="8" minRefreshableVersion="5" useAutoFormatting="1" subtotalHiddenItems="1" rowGrandTotals="0" itemPrintTitles="1" createdVersion="8" indent="0" outline="1" outlineData="1" multipleFieldFilters="0" rowHeaderCaption="Source">
  <location ref="O32:O33" firstHeaderRow="1" firstDataRow="1" firstDataCol="0"/>
  <pivotFields count="1">
    <pivotField dataField="1" subtotalTop="0" showAll="0" defaultSubtotal="0"/>
  </pivotFields>
  <rowItems count="1">
    <i/>
  </rowItems>
  <colItems count="1">
    <i/>
  </colItems>
  <dataFields count="1">
    <dataField name="Sum of Average Conversion rate 2019" fld="0" baseField="0" baseItem="0" numFmtId="2"/>
  </dataFields>
  <formats count="1">
    <format dxfId="194">
      <pivotArea outline="0" collapsedLevelsAreSubtotals="1" fieldPosition="0"/>
    </format>
  </formats>
  <pivotHierarchies count="6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Us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04B1AB-31BE-45CC-8EC3-A7756D0F1E2A}" name="PivotTable2" cacheId="408" applyNumberFormats="0" applyBorderFormats="0" applyFontFormats="0" applyPatternFormats="0" applyAlignmentFormats="0" applyWidthHeightFormats="1" dataCaption="Values" updatedVersion="8" minRefreshableVersion="5" useAutoFormatting="1" subtotalHiddenItems="1" rowGrandTotals="0" itemPrintTitles="1" createdVersion="8" indent="0" outline="1" outlineData="1" multipleFieldFilters="0" rowHeaderCaption="Source">
  <location ref="R81:R82" firstHeaderRow="1" firstDataRow="1" firstDataCol="0"/>
  <pivotFields count="3">
    <pivotField allDrilled="1" subtotalTop="0" showAll="0" defaultSubtotal="0" defaultAttributeDrillState="1">
      <items count="19">
        <item s="1" x="0"/>
        <item s="1" x="1"/>
        <item s="1" x="2"/>
        <item s="1" x="3"/>
        <item s="1" x="4"/>
        <item s="1" x="5"/>
        <item s="1" x="6"/>
        <item s="1" x="7"/>
        <item s="1" x="8"/>
        <item s="1" x="9"/>
        <item s="1" x="10"/>
        <item s="1" x="11"/>
        <item s="1" x="12"/>
        <item s="1" x="13"/>
        <item s="1" x="14"/>
        <item s="1" x="15"/>
        <item s="1" x="16"/>
        <item s="1" x="17"/>
        <item s="1" x="18"/>
      </items>
    </pivotField>
    <pivotField allDrilled="1" subtotalTop="0" showAll="0" dataSourceSort="1" defaultSubtotal="0" defaultAttributeDrillState="1"/>
    <pivotField dataField="1" subtotalTop="0" showAll="0" defaultSubtotal="0"/>
  </pivotFields>
  <rowItems count="1">
    <i/>
  </rowItems>
  <colItems count="1">
    <i/>
  </colItems>
  <dataFields count="1">
    <dataField name="Max of Conversion Rate (%)" fld="2" subtotal="max" baseField="0" baseItem="0"/>
  </dataFields>
  <formats count="1">
    <format dxfId="195">
      <pivotArea outline="0" collapsedLevelsAreSubtotals="1" fieldPosition="0"/>
    </format>
  </formats>
  <pivotHierarchies count="61">
    <pivotHierarchy dragToData="1"/>
    <pivotHierarchy multipleItemSelectionAllowed="1" dragToData="1">
      <members count="1" level="1">
        <member name="[Table1].[Year].&amp;[202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Users"/>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onversion Rate (%)"/>
    <pivotHierarchy dragToData="1"/>
    <pivotHierarchy dragToData="1"/>
    <pivotHierarchy dragToData="1" caption="Max of Conversion Rat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72CDB9-500D-420D-A844-5FB38BDFDB46}" name="PivotTable6" cacheId="438" applyNumberFormats="0" applyBorderFormats="0" applyFontFormats="0" applyPatternFormats="0" applyAlignmentFormats="0" applyWidthHeightFormats="1" dataCaption="Values" updatedVersion="8" minRefreshableVersion="5" useAutoFormatting="1" subtotalHiddenItems="1" rowGrandTotals="0" itemPrintTitles="1" createdVersion="8" indent="0" outline="1" outlineData="1" multipleFieldFilters="0" chartFormat="17" rowHeaderCaption="Source">
  <location ref="E70:F74"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name="Sum of Users" fld="1" baseField="0" baseItem="0"/>
  </dataFields>
  <formats count="1">
    <format dxfId="196">
      <pivotArea outline="0" collapsedLevelsAreSubtotals="1" fieldPosition="0"/>
    </format>
  </formats>
  <chartFormats count="1">
    <chartFormat chart="16" format="2" series="1">
      <pivotArea type="data" outline="0" fieldPosition="0">
        <references count="1">
          <reference field="4294967294" count="1" selected="0">
            <x v="0"/>
          </reference>
        </references>
      </pivotArea>
    </chartFormat>
  </chartFormats>
  <pivotHierarchies count="6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Users"/>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onversion Rate (%)"/>
    <pivotHierarchy dragToData="1"/>
    <pivotHierarchy dragToData="1"/>
    <pivotHierarchy dragToData="1" caption="Max of Conversion Rat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99B4CC-BEB4-4760-89DF-A0973197E0BE}" name="PivotTable25" cacheId="42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rowHeaderCaption="Source">
  <location ref="D35:F48"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Bounce Rate" fld="0" baseField="0" baseItem="0"/>
    <dataField name="Sum of Conversion Rate (%)" fld="1" baseField="0" baseItem="0"/>
  </dataFields>
  <formats count="1">
    <format dxfId="197">
      <pivotArea outline="0" collapsedLevelsAreSubtotals="1" fieldPosition="0"/>
    </format>
  </formats>
  <pivotHierarchies count="6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Users"/>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onversion Rate (%)"/>
    <pivotHierarchy dragToData="1"/>
    <pivotHierarchy dragToData="1"/>
    <pivotHierarchy dragToData="1" caption="Max of Conversion Rat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162416-419C-4F90-9495-3D70E9D902A5}" name="PivotTable9" cacheId="441" applyNumberFormats="0" applyBorderFormats="0" applyFontFormats="0" applyPatternFormats="0" applyAlignmentFormats="0" applyWidthHeightFormats="1" dataCaption="Values" updatedVersion="8" minRefreshableVersion="5" useAutoFormatting="1" subtotalHiddenItems="1" rowGrandTotals="0" itemPrintTitles="1" createdVersion="8" indent="0" outline="1" outlineData="1" multipleFieldFilters="0" rowHeaderCaption="Year">
  <location ref="A3:B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name="Sum of Users" fld="1" baseField="0" baseItem="0" numFmtId="171"/>
  </dataFields>
  <formats count="1">
    <format dxfId="198">
      <pivotArea outline="0" collapsedLevelsAreSubtotals="1" fieldPosition="0"/>
    </format>
  </formats>
  <pivotHierarchies count="6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eb Analytic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228BE2-2B27-4608-80BC-A0D60620DCA2}" name="PivotTable48" cacheId="432" applyNumberFormats="0" applyBorderFormats="0" applyFontFormats="0" applyPatternFormats="0" applyAlignmentFormats="0" applyWidthHeightFormats="1" dataCaption="Values" updatedVersion="8" minRefreshableVersion="5" useAutoFormatting="1" subtotalHiddenItems="1" rowGrandTotals="0" itemPrintTitles="1" createdVersion="8" indent="0" outline="1" outlineData="1" multipleFieldFilters="0" chartFormat="14" rowHeaderCaption="Source">
  <location ref="F59:G63"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name="Sum of Transactions" fld="1" baseField="0" baseItem="0"/>
  </dataFields>
  <formats count="1">
    <format dxfId="199">
      <pivotArea outline="0" collapsedLevelsAreSubtotals="1" fieldPosition="0"/>
    </format>
  </formats>
  <chartFormats count="5">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0" count="1" selected="0">
            <x v="0"/>
          </reference>
        </references>
      </pivotArea>
    </chartFormat>
    <chartFormat chart="9" format="18">
      <pivotArea type="data" outline="0" fieldPosition="0">
        <references count="2">
          <reference field="4294967294" count="1" selected="0">
            <x v="0"/>
          </reference>
          <reference field="0" count="1" selected="0">
            <x v="1"/>
          </reference>
        </references>
      </pivotArea>
    </chartFormat>
    <chartFormat chart="9" format="19">
      <pivotArea type="data" outline="0" fieldPosition="0">
        <references count="2">
          <reference field="4294967294" count="1" selected="0">
            <x v="0"/>
          </reference>
          <reference field="0" count="1" selected="0">
            <x v="2"/>
          </reference>
        </references>
      </pivotArea>
    </chartFormat>
    <chartFormat chart="9" format="20">
      <pivotArea type="data" outline="0" fieldPosition="0">
        <references count="2">
          <reference field="4294967294" count="1" selected="0">
            <x v="0"/>
          </reference>
          <reference field="0" count="1" selected="0">
            <x v="3"/>
          </reference>
        </references>
      </pivotArea>
    </chartFormat>
  </chartFormats>
  <pivotHierarchies count="6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Users"/>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onversion Rate (%)"/>
    <pivotHierarchy dragToData="1"/>
    <pivotHierarchy dragToData="1"/>
    <pivotHierarchy dragToData="1" caption="Max of Conversion Rat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9490E75-804E-4325-A2ED-C55DC148375A}" name="PivotTable11" cacheId="393" applyNumberFormats="0" applyBorderFormats="0" applyFontFormats="0" applyPatternFormats="0" applyAlignmentFormats="0" applyWidthHeightFormats="1" dataCaption="Values" updatedVersion="8" minRefreshableVersion="5" useAutoFormatting="1" subtotalHiddenItems="1" rowGrandTotals="0" itemPrintTitles="1" createdVersion="8" indent="0" outline="1" outlineData="1" multipleFieldFilters="0" chartFormat="9" rowHeaderCaption="Source">
  <location ref="G5:H28" firstHeaderRow="1" firstDataRow="1" firstDataCol="1"/>
  <pivotFields count="2">
    <pivotField axis="axisRow" allDrilled="1" subtotalTop="0" showAll="0" dataSourceSort="1" defaultSubtotal="0" defaultAttributeDrillState="1">
      <items count="23">
        <item s="1" x="0"/>
        <item s="1" x="1"/>
        <item s="1" x="2"/>
        <item s="1" x="3"/>
        <item s="1" x="4"/>
        <item s="1" x="5"/>
        <item s="1" x="6"/>
        <item s="1" x="7"/>
        <item s="1" x="8"/>
        <item s="1" x="9"/>
        <item s="1" x="10"/>
        <item s="1" x="11"/>
        <item s="1" x="12"/>
        <item s="1" x="13"/>
        <item s="1" x="14"/>
        <item s="1" x="15"/>
        <item s="1" x="16"/>
        <item s="1" x="17"/>
        <item s="1" x="18"/>
        <item s="1" x="19"/>
        <item s="1" x="20"/>
        <item s="1" x="21"/>
        <item s="1" x="22"/>
      </items>
    </pivotField>
    <pivotField dataField="1" subtotalTop="0" showAll="0" defaultSubtotal="0"/>
  </pivotFields>
  <rowFields count="1">
    <field x="0"/>
  </rowFields>
  <rowItems count="23">
    <i>
      <x/>
    </i>
    <i>
      <x v="1"/>
    </i>
    <i>
      <x v="2"/>
    </i>
    <i>
      <x v="3"/>
    </i>
    <i>
      <x v="4"/>
    </i>
    <i>
      <x v="5"/>
    </i>
    <i>
      <x v="6"/>
    </i>
    <i>
      <x v="7"/>
    </i>
    <i>
      <x v="8"/>
    </i>
    <i>
      <x v="9"/>
    </i>
    <i>
      <x v="10"/>
    </i>
    <i>
      <x v="11"/>
    </i>
    <i>
      <x v="12"/>
    </i>
    <i>
      <x v="13"/>
    </i>
    <i>
      <x v="14"/>
    </i>
    <i>
      <x v="15"/>
    </i>
    <i>
      <x v="16"/>
    </i>
    <i>
      <x v="17"/>
    </i>
    <i>
      <x v="18"/>
    </i>
    <i>
      <x v="19"/>
    </i>
    <i>
      <x v="20"/>
    </i>
    <i>
      <x v="21"/>
    </i>
    <i>
      <x v="22"/>
    </i>
  </rowItems>
  <colItems count="1">
    <i/>
  </colItems>
  <dataFields count="1">
    <dataField name="Sum of Pageviews" fld="1" baseField="0" baseItem="0"/>
  </dataFields>
  <chartFormats count="24">
    <chartFormat chart="8" format="48" series="1">
      <pivotArea type="data" outline="0" fieldPosition="0">
        <references count="1">
          <reference field="4294967294" count="1" selected="0">
            <x v="0"/>
          </reference>
        </references>
      </pivotArea>
    </chartFormat>
    <chartFormat chart="8" format="49">
      <pivotArea type="data" outline="0" fieldPosition="0">
        <references count="2">
          <reference field="4294967294" count="1" selected="0">
            <x v="0"/>
          </reference>
          <reference field="0" count="1" selected="0">
            <x v="0"/>
          </reference>
        </references>
      </pivotArea>
    </chartFormat>
    <chartFormat chart="8" format="50">
      <pivotArea type="data" outline="0" fieldPosition="0">
        <references count="2">
          <reference field="4294967294" count="1" selected="0">
            <x v="0"/>
          </reference>
          <reference field="0" count="1" selected="0">
            <x v="1"/>
          </reference>
        </references>
      </pivotArea>
    </chartFormat>
    <chartFormat chart="8" format="51">
      <pivotArea type="data" outline="0" fieldPosition="0">
        <references count="2">
          <reference field="4294967294" count="1" selected="0">
            <x v="0"/>
          </reference>
          <reference field="0" count="1" selected="0">
            <x v="2"/>
          </reference>
        </references>
      </pivotArea>
    </chartFormat>
    <chartFormat chart="8" format="52">
      <pivotArea type="data" outline="0" fieldPosition="0">
        <references count="2">
          <reference field="4294967294" count="1" selected="0">
            <x v="0"/>
          </reference>
          <reference field="0" count="1" selected="0">
            <x v="3"/>
          </reference>
        </references>
      </pivotArea>
    </chartFormat>
    <chartFormat chart="8" format="53">
      <pivotArea type="data" outline="0" fieldPosition="0">
        <references count="2">
          <reference field="4294967294" count="1" selected="0">
            <x v="0"/>
          </reference>
          <reference field="0" count="1" selected="0">
            <x v="4"/>
          </reference>
        </references>
      </pivotArea>
    </chartFormat>
    <chartFormat chart="8" format="54">
      <pivotArea type="data" outline="0" fieldPosition="0">
        <references count="2">
          <reference field="4294967294" count="1" selected="0">
            <x v="0"/>
          </reference>
          <reference field="0" count="1" selected="0">
            <x v="5"/>
          </reference>
        </references>
      </pivotArea>
    </chartFormat>
    <chartFormat chart="8" format="55">
      <pivotArea type="data" outline="0" fieldPosition="0">
        <references count="2">
          <reference field="4294967294" count="1" selected="0">
            <x v="0"/>
          </reference>
          <reference field="0" count="1" selected="0">
            <x v="6"/>
          </reference>
        </references>
      </pivotArea>
    </chartFormat>
    <chartFormat chart="8" format="56">
      <pivotArea type="data" outline="0" fieldPosition="0">
        <references count="2">
          <reference field="4294967294" count="1" selected="0">
            <x v="0"/>
          </reference>
          <reference field="0" count="1" selected="0">
            <x v="7"/>
          </reference>
        </references>
      </pivotArea>
    </chartFormat>
    <chartFormat chart="8" format="57">
      <pivotArea type="data" outline="0" fieldPosition="0">
        <references count="2">
          <reference field="4294967294" count="1" selected="0">
            <x v="0"/>
          </reference>
          <reference field="0" count="1" selected="0">
            <x v="8"/>
          </reference>
        </references>
      </pivotArea>
    </chartFormat>
    <chartFormat chart="8" format="58">
      <pivotArea type="data" outline="0" fieldPosition="0">
        <references count="2">
          <reference field="4294967294" count="1" selected="0">
            <x v="0"/>
          </reference>
          <reference field="0" count="1" selected="0">
            <x v="9"/>
          </reference>
        </references>
      </pivotArea>
    </chartFormat>
    <chartFormat chart="8" format="59">
      <pivotArea type="data" outline="0" fieldPosition="0">
        <references count="2">
          <reference field="4294967294" count="1" selected="0">
            <x v="0"/>
          </reference>
          <reference field="0" count="1" selected="0">
            <x v="10"/>
          </reference>
        </references>
      </pivotArea>
    </chartFormat>
    <chartFormat chart="8" format="60">
      <pivotArea type="data" outline="0" fieldPosition="0">
        <references count="2">
          <reference field="4294967294" count="1" selected="0">
            <x v="0"/>
          </reference>
          <reference field="0" count="1" selected="0">
            <x v="11"/>
          </reference>
        </references>
      </pivotArea>
    </chartFormat>
    <chartFormat chart="8" format="61">
      <pivotArea type="data" outline="0" fieldPosition="0">
        <references count="2">
          <reference field="4294967294" count="1" selected="0">
            <x v="0"/>
          </reference>
          <reference field="0" count="1" selected="0">
            <x v="12"/>
          </reference>
        </references>
      </pivotArea>
    </chartFormat>
    <chartFormat chart="8" format="62">
      <pivotArea type="data" outline="0" fieldPosition="0">
        <references count="2">
          <reference field="4294967294" count="1" selected="0">
            <x v="0"/>
          </reference>
          <reference field="0" count="1" selected="0">
            <x v="13"/>
          </reference>
        </references>
      </pivotArea>
    </chartFormat>
    <chartFormat chart="8" format="63">
      <pivotArea type="data" outline="0" fieldPosition="0">
        <references count="2">
          <reference field="4294967294" count="1" selected="0">
            <x v="0"/>
          </reference>
          <reference field="0" count="1" selected="0">
            <x v="14"/>
          </reference>
        </references>
      </pivotArea>
    </chartFormat>
    <chartFormat chart="8" format="64">
      <pivotArea type="data" outline="0" fieldPosition="0">
        <references count="2">
          <reference field="4294967294" count="1" selected="0">
            <x v="0"/>
          </reference>
          <reference field="0" count="1" selected="0">
            <x v="15"/>
          </reference>
        </references>
      </pivotArea>
    </chartFormat>
    <chartFormat chart="8" format="65">
      <pivotArea type="data" outline="0" fieldPosition="0">
        <references count="2">
          <reference field="4294967294" count="1" selected="0">
            <x v="0"/>
          </reference>
          <reference field="0" count="1" selected="0">
            <x v="16"/>
          </reference>
        </references>
      </pivotArea>
    </chartFormat>
    <chartFormat chart="8" format="66">
      <pivotArea type="data" outline="0" fieldPosition="0">
        <references count="2">
          <reference field="4294967294" count="1" selected="0">
            <x v="0"/>
          </reference>
          <reference field="0" count="1" selected="0">
            <x v="17"/>
          </reference>
        </references>
      </pivotArea>
    </chartFormat>
    <chartFormat chart="8" format="67">
      <pivotArea type="data" outline="0" fieldPosition="0">
        <references count="2">
          <reference field="4294967294" count="1" selected="0">
            <x v="0"/>
          </reference>
          <reference field="0" count="1" selected="0">
            <x v="18"/>
          </reference>
        </references>
      </pivotArea>
    </chartFormat>
    <chartFormat chart="8" format="68">
      <pivotArea type="data" outline="0" fieldPosition="0">
        <references count="2">
          <reference field="4294967294" count="1" selected="0">
            <x v="0"/>
          </reference>
          <reference field="0" count="1" selected="0">
            <x v="19"/>
          </reference>
        </references>
      </pivotArea>
    </chartFormat>
    <chartFormat chart="8" format="69">
      <pivotArea type="data" outline="0" fieldPosition="0">
        <references count="2">
          <reference field="4294967294" count="1" selected="0">
            <x v="0"/>
          </reference>
          <reference field="0" count="1" selected="0">
            <x v="20"/>
          </reference>
        </references>
      </pivotArea>
    </chartFormat>
    <chartFormat chart="8" format="70">
      <pivotArea type="data" outline="0" fieldPosition="0">
        <references count="2">
          <reference field="4294967294" count="1" selected="0">
            <x v="0"/>
          </reference>
          <reference field="0" count="1" selected="0">
            <x v="21"/>
          </reference>
        </references>
      </pivotArea>
    </chartFormat>
    <chartFormat chart="8" format="71">
      <pivotArea type="data" outline="0" fieldPosition="0">
        <references count="2">
          <reference field="4294967294" count="1" selected="0">
            <x v="0"/>
          </reference>
          <reference field="0" count="1" selected="0">
            <x v="22"/>
          </reference>
        </references>
      </pivotArea>
    </chartFormat>
  </chartFormats>
  <pivotHierarchies count="6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Us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eb Analytic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E9FC81-2615-4E10-A387-04BF07756758}" name="PivotTable5" cacheId="384" applyNumberFormats="0" applyBorderFormats="0" applyFontFormats="0" applyPatternFormats="0" applyAlignmentFormats="0" applyWidthHeightFormats="1" dataCaption="Values" updatedVersion="8" minRefreshableVersion="5" useAutoFormatting="1" subtotalHiddenItems="1" rowGrandTotals="0" itemPrintTitles="1" createdVersion="8" indent="0" outline="1" outlineData="1" multipleFieldFilters="0" chartFormat="18" rowHeaderCaption="Source">
  <location ref="R96:U108" firstHeaderRow="0" firstDataRow="1" firstDataCol="1"/>
  <pivotFields count="6">
    <pivotField allDrilled="1" subtotalTop="0" showAll="0" defaultSubtotal="0" defaultAttributeDrillState="1">
      <items count="19">
        <item s="1" x="0"/>
        <item s="1" x="1"/>
        <item s="1" x="2"/>
        <item s="1" x="3"/>
        <item s="1" x="4"/>
        <item s="1" x="5"/>
        <item s="1" x="6"/>
        <item s="1" x="7"/>
        <item s="1" x="8"/>
        <item s="1" x="9"/>
        <item s="1" x="10"/>
        <item s="1" x="11"/>
        <item s="1" x="12"/>
        <item s="1" x="13"/>
        <item s="1" x="14"/>
        <item s="1" x="15"/>
        <item s="1" x="16"/>
        <item s="1" x="17"/>
        <item s="1" x="18"/>
      </items>
    </pivotField>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s>
  <rowFields count="1">
    <field x="2"/>
  </rowFields>
  <rowItems count="12">
    <i>
      <x/>
    </i>
    <i>
      <x v="1"/>
    </i>
    <i>
      <x v="2"/>
    </i>
    <i>
      <x v="3"/>
    </i>
    <i>
      <x v="4"/>
    </i>
    <i>
      <x v="5"/>
    </i>
    <i>
      <x v="6"/>
    </i>
    <i>
      <x v="7"/>
    </i>
    <i>
      <x v="8"/>
    </i>
    <i>
      <x v="9"/>
    </i>
    <i>
      <x v="10"/>
    </i>
    <i>
      <x v="11"/>
    </i>
  </rowItems>
  <colFields count="1">
    <field x="-2"/>
  </colFields>
  <colItems count="3">
    <i>
      <x/>
    </i>
    <i i="1">
      <x v="1"/>
    </i>
    <i i="2">
      <x v="2"/>
    </i>
  </colItems>
  <dataFields count="3">
    <dataField name="Sum of Transactions" fld="3" baseField="0" baseItem="0" numFmtId="171"/>
    <dataField name="Sum of Revenue" fld="4" baseField="0" baseItem="0" numFmtId="171"/>
    <dataField name="Sum of Pageviews" fld="5" baseField="0" baseItem="0"/>
  </dataFields>
  <formats count="2">
    <format dxfId="201">
      <pivotArea outline="0" collapsedLevelsAreSubtotals="1" fieldPosition="0"/>
    </format>
    <format dxfId="200">
      <pivotArea outline="0" collapsedLevelsAreSubtotals="1" fieldPosition="0">
        <references count="1">
          <reference field="4294967294" count="2" selected="0">
            <x v="0"/>
            <x v="1"/>
          </reference>
        </references>
      </pivotArea>
    </format>
  </formats>
  <pivotHierarchies count="61">
    <pivotHierarchy dragToData="1"/>
    <pivotHierarchy multipleItemSelectionAllowed="1" dragToData="1">
      <members count="1" level="1">
        <member name="[Table1].[Year].&amp;[202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Users"/>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onversion Rate (%)"/>
    <pivotHierarchy dragToData="1"/>
    <pivotHierarchy dragToData="1"/>
    <pivotHierarchy dragToData="1" caption="Max of Conversion Rat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7AD0C9C-5CCB-4DE3-81C6-206117287721}" name="PivotTable1" cacheId="387" applyNumberFormats="0" applyBorderFormats="0" applyFontFormats="0" applyPatternFormats="0" applyAlignmentFormats="0" applyWidthHeightFormats="1" dataCaption="Values" updatedVersion="8" minRefreshableVersion="5" useAutoFormatting="1" subtotalHiddenItems="1" rowGrandTotals="0" itemPrintTitles="1" createdVersion="8" indent="0" outline="1" outlineData="1" multipleFieldFilters="0" chartFormat="7" rowHeaderCaption="Source">
  <location ref="H82:N83"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7">
    <i>
      <x/>
    </i>
    <i i="1">
      <x v="1"/>
    </i>
    <i i="2">
      <x v="2"/>
    </i>
    <i i="3">
      <x v="3"/>
    </i>
    <i i="4">
      <x v="4"/>
    </i>
    <i i="5">
      <x v="5"/>
    </i>
    <i i="6">
      <x v="6"/>
    </i>
  </colItems>
  <dataFields count="7">
    <dataField name="Sum of Users" fld="0" baseField="0" baseItem="0"/>
    <dataField name="Sum of Returning Users" fld="1" baseField="0" baseItem="0"/>
    <dataField name="Sum of New Users" fld="2" baseField="0" baseItem="0"/>
    <dataField name="Sum of Transactions" fld="3" baseField="0" baseItem="0"/>
    <dataField name="Average of Revenue" fld="6" subtotal="average" baseField="0" baseItem="1"/>
    <dataField name="Average of Revenue Per User" fld="5" subtotal="average" baseField="0" baseItem="1"/>
    <dataField name="Average of Revenue Per Session" fld="4" subtotal="average" baseField="0" baseItem="1"/>
  </dataFields>
  <formats count="1">
    <format dxfId="202">
      <pivotArea outline="0" collapsedLevelsAreSubtotals="1" fieldPosition="0"/>
    </format>
  </formats>
  <pivotHierarchies count="6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Users"/>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onversion Rate (%)"/>
    <pivotHierarchy dragToData="1"/>
    <pivotHierarchy dragToData="1" caption="Average of Revenue Per Session"/>
    <pivotHierarchy dragToData="1" caption="Max of Conversion Rate (%)"/>
    <pivotHierarchy dragToData="1"/>
    <pivotHierarchy dragToData="1"/>
    <pivotHierarchy dragToData="1"/>
    <pivotHierarchy dragToData="1"/>
    <pivotHierarchy dragToData="1"/>
    <pivotHierarchy dragToData="1"/>
    <pivotHierarchy dragToData="1"/>
    <pivotHierarchy dragToData="1"/>
    <pivotHierarchy dragToData="1" caption="Average of Revenue Per User"/>
    <pivotHierarchy dragToData="1" caption="Average of Revenue"/>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D1F4E71-62D3-4A95-9645-843829EFB5FC}" name="PivotTable18" cacheId="402" applyNumberFormats="0" applyBorderFormats="0" applyFontFormats="0" applyPatternFormats="0" applyAlignmentFormats="0" applyWidthHeightFormats="1" dataCaption="Values" updatedVersion="8" minRefreshableVersion="5" useAutoFormatting="1" subtotalHiddenItems="1" rowGrandTotals="0" itemPrintTitles="1" createdVersion="8" indent="0" outline="1" outlineData="1" multipleFieldFilters="0" rowHeaderCaption="Source">
  <location ref="Q10:T22" firstHeaderRow="0" firstDataRow="1" firstDataCol="1"/>
  <pivotFields count="6">
    <pivotField allDrilled="1" subtotalTop="0" showAll="0" sortType="descending" defaultSubtotal="0" defaultAttributeDrillState="1">
      <items count="23">
        <item s="1" x="0"/>
        <item s="1" x="1"/>
        <item s="1" x="2"/>
        <item s="1" x="3"/>
        <item s="1" x="4"/>
        <item s="1" x="5"/>
        <item s="1" x="6"/>
        <item s="1" x="7"/>
        <item s="1" x="8"/>
        <item s="1" x="9"/>
        <item s="1" x="10"/>
        <item s="1" x="11"/>
        <item s="1" x="12"/>
        <item s="1" x="13"/>
        <item s="1" x="14"/>
        <item s="1" x="15"/>
        <item s="1" x="16"/>
        <item s="1" x="17"/>
        <item s="1" x="18"/>
        <item s="1" x="19"/>
        <item s="1" x="20"/>
        <item s="1" x="21"/>
        <item s="1" x="22"/>
      </items>
      <autoSortScope>
        <pivotArea dataOnly="0" outline="0" fieldPosition="0">
          <references count="1">
            <reference field="4294967294" count="1" selected="0">
              <x v="2"/>
            </reference>
          </references>
        </pivotArea>
      </autoSortScope>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5"/>
  </rowFields>
  <rowItems count="12">
    <i>
      <x/>
    </i>
    <i>
      <x v="1"/>
    </i>
    <i>
      <x v="2"/>
    </i>
    <i>
      <x v="3"/>
    </i>
    <i>
      <x v="4"/>
    </i>
    <i>
      <x v="5"/>
    </i>
    <i>
      <x v="6"/>
    </i>
    <i>
      <x v="7"/>
    </i>
    <i>
      <x v="8"/>
    </i>
    <i>
      <x v="9"/>
    </i>
    <i>
      <x v="10"/>
    </i>
    <i>
      <x v="11"/>
    </i>
  </rowItems>
  <colFields count="1">
    <field x="-2"/>
  </colFields>
  <colItems count="3">
    <i>
      <x/>
    </i>
    <i i="1">
      <x v="1"/>
    </i>
    <i i="2">
      <x v="2"/>
    </i>
  </colItems>
  <dataFields count="3">
    <dataField name="Average of Bounce Rate" fld="1" subtotal="average" baseField="0" baseItem="0" numFmtId="9"/>
    <dataField name="Average of Conversion Rate (%)" fld="3" subtotal="average" baseField="0" baseItem="0" numFmtId="9"/>
    <dataField name="Average of Revenue Per Session" fld="4" subtotal="average" baseField="0" baseItem="0" numFmtId="164"/>
  </dataFields>
  <formats count="3">
    <format dxfId="205">
      <pivotArea outline="0" collapsedLevelsAreSubtotals="1" fieldPosition="0"/>
    </format>
    <format dxfId="204">
      <pivotArea outline="0" collapsedLevelsAreSubtotals="1" fieldPosition="0">
        <references count="1">
          <reference field="4294967294" count="2" selected="0">
            <x v="0"/>
            <x v="1"/>
          </reference>
        </references>
      </pivotArea>
    </format>
    <format dxfId="203">
      <pivotArea outline="0" collapsedLevelsAreSubtotals="1" fieldPosition="0">
        <references count="1">
          <reference field="4294967294" count="1" selected="0">
            <x v="2"/>
          </reference>
        </references>
      </pivotArea>
    </format>
  </formats>
  <pivotHierarchies count="6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26" level="1">
        <member name="[Table1].[Conversion Rate (%)].&amp;[1.]"/>
        <member name="[Table1].[Conversion Rate (%)].&amp;[1.3]"/>
        <member name="[Table1].[Conversion Rate (%)].&amp;[1.4]"/>
        <member name="[Table1].[Conversion Rate (%)].&amp;[8.9]"/>
        <member name="[Table1].[Conversion Rate (%)].&amp;[1.13]"/>
        <member name="[Table1].[Conversion Rate (%)].&amp;[1.15]"/>
        <member name="[Table1].[Conversion Rate (%)].&amp;[1.18]"/>
        <member name="[Table1].[Conversion Rate (%)].&amp;[1.29]"/>
        <member name="[Table1].[Conversion Rate (%)].&amp;[1.32]"/>
        <member name="[Table1].[Conversion Rate (%)].&amp;[1.67]"/>
        <member name="[Table1].[Conversion Rate (%)].&amp;[1.79]"/>
        <member name="[Table1].[Conversion Rate (%)].&amp;[1.86]"/>
        <member name="[Table1].[Conversion Rate (%)].&amp;[1.87]"/>
        <member name="[Table1].[Conversion Rate (%)].&amp;[1.88]"/>
        <member name="[Table1].[Conversion Rate (%)].&amp;[1.92]"/>
        <member name="[Table1].[Conversion Rate (%)].&amp;[2.22]"/>
        <member name="[Table1].[Conversion Rate (%)].&amp;[2.48]"/>
        <member name="[Table1].[Conversion Rate (%)].&amp;[2.76]"/>
        <member name="[Table1].[Conversion Rate (%)].&amp;[2.96]"/>
        <member name="[Table1].[Conversion Rate (%)].&amp;[3.66]"/>
        <member name="[Table1].[Conversion Rate (%)].&amp;[3.73]"/>
        <member name="[Table1].[Conversion Rate (%)].&amp;[3.83]"/>
        <member name="[Table1].[Conversion Rate (%)].&amp;[4.66]"/>
        <member name="[Table1].[Conversion Rate (%)].&amp;[4.83]"/>
        <member name="[Table1].[Conversion Rate (%)].&amp;[5.81]"/>
        <member name="[Table1].[Conversion Rate (%)].&amp;[6.02]"/>
        <member name="[Table1].[Conversion Rate (%)].&amp;[6.74]"/>
        <member name="[Table1].[Conversion Rate (%)].&amp;[7.45]"/>
        <member name="[Table1].[Conversion Rate (%)].&amp;[7.53]"/>
        <member name="[Table1].[Conversion Rate (%)].&amp;[7.82]"/>
        <member name="[Table1].[Conversion Rate (%)].&amp;[1.E-1]"/>
        <member name="[Table1].[Conversion Rate (%)].&amp;[2.E-1]"/>
        <member name="[Table1].[Conversion Rate (%)].&amp;[3.E-2]"/>
        <member name="[Table1].[Conversion Rate (%)].&amp;[4.E-1]"/>
        <member name="[Table1].[Conversion Rate (%)].&amp;[5.E-2]"/>
        <member name="[Table1].[Conversion Rate (%)].&amp;[6.E-1]"/>
        <member name="[Table1].[Conversion Rate (%)].&amp;[7.E-1]"/>
        <member name="[Table1].[Conversion Rate (%)].&amp;[7.E-2]"/>
        <member name="[Table1].[Conversion Rate (%)].&amp;[8.E-2]"/>
        <member name="[Table1].[Conversion Rate (%)].&amp;[9.E-1]"/>
        <member name="[Table1].[Conversion Rate (%)].&amp;[9.E-2]"/>
        <member name="[Table1].[Conversion Rate (%)].&amp;[1.1E-1]"/>
        <member name="[Table1].[Conversion Rate (%)].&amp;[1.2E-1]"/>
        <member name="[Table1].[Conversion Rate (%)].&amp;[1.3E-1]"/>
        <member name="[Table1].[Conversion Rate (%)].&amp;[1.4E-1]"/>
        <member name="[Table1].[Conversion Rate (%)].&amp;[1.5E-1]"/>
        <member name="[Table1].[Conversion Rate (%)].&amp;[1.6E-1]"/>
        <member name="[Table1].[Conversion Rate (%)].&amp;[1.7E-1]"/>
        <member name="[Table1].[Conversion Rate (%)].&amp;[1.8E-1]"/>
        <member name="[Table1].[Conversion Rate (%)].&amp;[1.9E-1]"/>
        <member name="[Table1].[Conversion Rate (%)].&amp;[2.1E-1]"/>
        <member name="[Table1].[Conversion Rate (%)].&amp;[2.2E-1]"/>
        <member name="[Table1].[Conversion Rate (%)].&amp;[2.3E-1]"/>
        <member name="[Table1].[Conversion Rate (%)].&amp;[2.4E-1]"/>
        <member name="[Table1].[Conversion Rate (%)].&amp;[2.5E-1]"/>
        <member name="[Table1].[Conversion Rate (%)].&amp;[2.66E1]"/>
        <member name="[Table1].[Conversion Rate (%)].&amp;[2.6E-1]"/>
        <member name="[Table1].[Conversion Rate (%)].&amp;[2.7E-1]"/>
        <member name="[Table1].[Conversion Rate (%)].&amp;[2.8E-1]"/>
        <member name="[Table1].[Conversion Rate (%)].&amp;[2.9E-1]"/>
        <member name="[Table1].[Conversion Rate (%)].&amp;[3.1E-1]"/>
        <member name="[Table1].[Conversion Rate (%)].&amp;[3.3E-1]"/>
        <member name="[Table1].[Conversion Rate (%)].&amp;[3.4E-1]"/>
        <member name="[Table1].[Conversion Rate (%)].&amp;[3.5E-1]"/>
        <member name="[Table1].[Conversion Rate (%)].&amp;[3.6E-1]"/>
        <member name="[Table1].[Conversion Rate (%)].&amp;[3.7E-1]"/>
        <member name="[Table1].[Conversion Rate (%)].&amp;[3.8E-1]"/>
        <member name="[Table1].[Conversion Rate (%)].&amp;[3.9E-1]"/>
        <member name="[Table1].[Conversion Rate (%)].&amp;[4.2E-1]"/>
        <member name="[Table1].[Conversion Rate (%)].&amp;[4.3E-1]"/>
        <member name="[Table1].[Conversion Rate (%)].&amp;[4.4E-1]"/>
        <member name="[Table1].[Conversion Rate (%)].&amp;[4.5E-1]"/>
        <member name="[Table1].[Conversion Rate (%)].&amp;[4.6E-1]"/>
        <member name="[Table1].[Conversion Rate (%)].&amp;[4.7E-1]"/>
        <member name="[Table1].[Conversion Rate (%)].&amp;[4.8E-1]"/>
        <member name="[Table1].[Conversion Rate (%)].&amp;[4.9E-1]"/>
        <member name="[Table1].[Conversion Rate (%)].&amp;[5.1E-1]"/>
        <member name="[Table1].[Conversion Rate (%)].&amp;[5.2E-1]"/>
        <member name="[Table1].[Conversion Rate (%)].&amp;[5.3E-1]"/>
        <member name="[Table1].[Conversion Rate (%)].&amp;[5.4E-1]"/>
        <member name="[Table1].[Conversion Rate (%)].&amp;[5.5E-1]"/>
        <member name="[Table1].[Conversion Rate (%)].&amp;[5.6E-1]"/>
        <member name="[Table1].[Conversion Rate (%)].&amp;[5.7E-1]"/>
        <member name="[Table1].[Conversion Rate (%)].&amp;[5.8E-1]"/>
        <member name="[Table1].[Conversion Rate (%)].&amp;[6.1E-1]"/>
        <member name="[Table1].[Conversion Rate (%)].&amp;[6.2E-1]"/>
        <member name="[Table1].[Conversion Rate (%)].&amp;[6.3E-1]"/>
        <member name="[Table1].[Conversion Rate (%)].&amp;[6.5E-1]"/>
        <member name="[Table1].[Conversion Rate (%)].&amp;[6.7E-1]"/>
        <member name="[Table1].[Conversion Rate (%)].&amp;[6.8E-1]"/>
        <member name="[Table1].[Conversion Rate (%)].&amp;[6.9E-1]"/>
        <member name="[Table1].[Conversion Rate (%)].&amp;[7.1E-1]"/>
        <member name="[Table1].[Conversion Rate (%)].&amp;[7.2E-1]"/>
        <member name="[Table1].[Conversion Rate (%)].&amp;[7.3E-1]"/>
        <member name="[Table1].[Conversion Rate (%)].&amp;[7.5E-1]"/>
        <member name="[Table1].[Conversion Rate (%)].&amp;[7.6E-1]"/>
        <member name="[Table1].[Conversion Rate (%)].&amp;[7.7E-1]"/>
        <member name="[Table1].[Conversion Rate (%)].&amp;[7.8E-1]"/>
        <member name="[Table1].[Conversion Rate (%)].&amp;[7.9E-1]"/>
        <member name="[Table1].[Conversion Rate (%)].&amp;[8.1E-1]"/>
        <member name="[Table1].[Conversion Rate (%)].&amp;[8.4E-1]"/>
        <member name="[Table1].[Conversion Rate (%)].&amp;[8.5E-1]"/>
        <member name="[Table1].[Conversion Rate (%)].&amp;[8.6E-1]"/>
        <member name="[Table1].[Conversion Rate (%)].&amp;[9.6E-1]"/>
        <member name="[Table1].[Conversion Rate (%)].&amp;[9.7E-1]"/>
        <member name="[Table1].[Conversion Rate (%)].&amp;[1.711E1]"/>
        <member name="[Table1].[Conversion Rate (%)].&amp;[1.757E1]"/>
        <member name="[Table1].[Conversion Rate (%)].&amp;[1.898E1]"/>
        <member name="[Table1].[Conversion Rate (%)].&amp;[2.022E1]"/>
        <member name="[Table1].[Conversion Rate (%)].&amp;[2.217E1]"/>
        <member name="[Table1].[Conversion Rate (%)].&amp;[2.269E1]"/>
        <member name="[Table1].[Conversion Rate (%)].&amp;[2.438E1]"/>
        <member name="[Table1].[Conversion Rate (%)].&amp;[2.459E1]"/>
        <member name="[Table1].[Conversion Rate (%)].&amp;[2.612E1]"/>
        <member name="[Table1].[Conversion Rate (%)].&amp;[2.661E1]"/>
        <member name="[Table1].[Conversion Rate (%)].&amp;[2.666E1]"/>
        <member name="[Table1].[Conversion Rate (%)].&amp;[2.672E1]"/>
        <member name="[Table1].[Conversion Rate (%)].&amp;[3.102E1]"/>
        <member name="[Table1].[Conversion Rate (%)].&amp;[3.138E1]"/>
        <member name="[Table1].[Conversion Rate (%)].&amp;[3.175E1]"/>
        <member name="[Table1].[Conversion Rate (%)].&amp;[3.176E1]"/>
        <member name="[Table1].[Conversion Rate (%)].&amp;[3.322E1]"/>
        <member name="[Table1].[Conversion Rate (%)].&amp;[3.618E1]"/>
        <member name="[Table1].[Conversion Rate (%)].&amp;[3.861E1]"/>
        <member name="[Table1].[Conversion Rate (%)].&amp;[4.005E1]"/>
        <member name="[Table1].[Conversion Rate (%)].&amp;[4.208E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Users"/>
    <pivotHierarchy dragToData="1"/>
    <pivotHierarchy dragToData="1"/>
    <pivotHierarchy dragToData="1"/>
    <pivotHierarchy dragToData="1"/>
    <pivotHierarchy dragToData="1"/>
    <pivotHierarchy dragToData="1"/>
    <pivotHierarchy dragToData="1"/>
    <pivotHierarchy dragToData="1" caption="Average of Bounce Rate"/>
    <pivotHierarchy dragToData="1"/>
    <pivotHierarchy dragToData="1" caption="Average of Conversion Rate (%)"/>
    <pivotHierarchy dragToData="1"/>
    <pivotHierarchy dragToData="1" caption="Average of Revenue Per Sess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88E1DDF-9542-4B9C-8266-EEBDA72351E8}" name="PivotTable21" cacheId="414" applyNumberFormats="0" applyBorderFormats="0" applyFontFormats="0" applyPatternFormats="0" applyAlignmentFormats="0" applyWidthHeightFormats="1" dataCaption="Values" updatedVersion="8" minRefreshableVersion="5" useAutoFormatting="1" subtotalHiddenItems="1" rowGrandTotals="0" itemPrintTitles="1" createdVersion="8" indent="0" outline="1" outlineData="1" multipleFieldFilters="0" rowHeaderCaption="Source">
  <location ref="M32:M33" firstHeaderRow="1" firstDataRow="1" firstDataCol="0"/>
  <pivotFields count="1">
    <pivotField dataField="1" subtotalTop="0" showAll="0" defaultSubtotal="0"/>
  </pivotFields>
  <rowItems count="1">
    <i/>
  </rowItems>
  <colItems count="1">
    <i/>
  </colItems>
  <dataFields count="1">
    <dataField name="Sum of Average Conversion Rate in 2020" fld="0" baseField="0" baseItem="0" numFmtId="2"/>
  </dataFields>
  <formats count="1">
    <format dxfId="206">
      <pivotArea outline="0" collapsedLevelsAreSubtotals="1" fieldPosition="0"/>
    </format>
  </formats>
  <pivotHierarchies count="6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Us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690B7A3-3EB7-4FB4-A1E4-C68E7D009079}" name="PivotTable17" cacheId="399" applyNumberFormats="0" applyBorderFormats="0" applyFontFormats="0" applyPatternFormats="0" applyAlignmentFormats="0" applyWidthHeightFormats="1" dataCaption="Values" updatedVersion="8" minRefreshableVersion="5" useAutoFormatting="1" subtotalHiddenItems="1" rowGrandTotals="0" itemPrintTitles="1" createdVersion="8" indent="0" outline="1" outlineData="1" multipleFieldFilters="0" chartFormat="12" rowHeaderCaption="Year">
  <location ref="N10:O24" firstHeaderRow="1" firstDataRow="1" firstDataCol="1"/>
  <pivotFields count="3">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2">
    <field x="0"/>
    <field x="1"/>
  </rowFields>
  <rowItems count="14">
    <i>
      <x/>
    </i>
    <i r="1">
      <x/>
    </i>
    <i r="1">
      <x v="1"/>
    </i>
    <i r="1">
      <x v="2"/>
    </i>
    <i r="1">
      <x v="3"/>
    </i>
    <i>
      <x v="1"/>
    </i>
    <i r="1">
      <x v="4"/>
    </i>
    <i r="1">
      <x v="5"/>
    </i>
    <i r="1">
      <x v="6"/>
    </i>
    <i r="1">
      <x v="7"/>
    </i>
    <i r="1">
      <x v="8"/>
    </i>
    <i r="1">
      <x v="9"/>
    </i>
    <i r="1">
      <x v="10"/>
    </i>
    <i r="1">
      <x v="11"/>
    </i>
  </rowItems>
  <colItems count="1">
    <i/>
  </colItems>
  <dataFields count="1">
    <dataField name="Sum of Revenue" fld="2" baseField="0" baseItem="0"/>
  </dataFields>
  <formats count="4">
    <format dxfId="210">
      <pivotArea outline="0" collapsedLevelsAreSubtotals="1" fieldPosition="0"/>
    </format>
    <format dxfId="209">
      <pivotArea collapsedLevelsAreSubtotals="1" fieldPosition="0">
        <references count="2">
          <reference field="0" count="1" selected="0">
            <x v="0"/>
          </reference>
          <reference field="1" count="4">
            <x v="0"/>
            <x v="1"/>
            <x v="2"/>
            <x v="3"/>
          </reference>
        </references>
      </pivotArea>
    </format>
    <format dxfId="208">
      <pivotArea collapsedLevelsAreSubtotals="1" fieldPosition="0">
        <references count="1">
          <reference field="0" count="1">
            <x v="1"/>
          </reference>
        </references>
      </pivotArea>
    </format>
    <format dxfId="207">
      <pivotArea collapsedLevelsAreSubtotals="1" fieldPosition="0">
        <references count="2">
          <reference field="0" count="1" selected="0">
            <x v="1"/>
          </reference>
          <reference field="1" count="8">
            <x v="4"/>
            <x v="5"/>
            <x v="6"/>
            <x v="7"/>
            <x v="8"/>
            <x v="9"/>
            <x v="10"/>
            <x v="11"/>
          </reference>
        </references>
      </pivotArea>
    </format>
  </formats>
  <chartFormats count="1">
    <chartFormat chart="9" format="2" series="1">
      <pivotArea type="data" outline="0" fieldPosition="0">
        <references count="1">
          <reference field="4294967294" count="1" selected="0">
            <x v="0"/>
          </reference>
        </references>
      </pivotArea>
    </chartFormat>
  </chartFormats>
  <pivotHierarchies count="6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Us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923B0FF-D732-4BBC-B188-4EB41584E0BD}" name="PivotTable27" cacheId="426" applyNumberFormats="0" applyBorderFormats="0" applyFontFormats="0" applyPatternFormats="0" applyAlignmentFormats="0" applyWidthHeightFormats="1" dataCaption="Values" updatedVersion="8" minRefreshableVersion="5" useAutoFormatting="1" subtotalHiddenItems="1" rowGrandTotals="0" itemPrintTitles="1" createdVersion="8" indent="0" outline="1" outlineData="1" multipleFieldFilters="0" rowHeaderCaption="Source">
  <location ref="P43:R55" firstHeaderRow="0" firstDataRow="1" firstDataCol="1"/>
  <pivotFields count="5">
    <pivotField allDrilled="1" subtotalTop="0" showAll="0" sortType="descending" defaultSubtotal="0" defaultAttributeDrillState="1">
      <items count="19">
        <item s="1" x="0"/>
        <item s="1" x="1"/>
        <item s="1" x="2"/>
        <item s="1" x="3"/>
        <item s="1" x="4"/>
        <item s="1" x="5"/>
        <item s="1" x="6"/>
        <item s="1" x="7"/>
        <item s="1" x="8"/>
        <item s="1" x="9"/>
        <item s="1" x="10"/>
        <item s="1" x="11"/>
        <item s="1" x="12"/>
        <item s="1" x="13"/>
        <item s="1" x="14"/>
        <item s="1" x="15"/>
        <item s="1" x="16"/>
        <item s="1" x="17"/>
        <item s="1" x="1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3"/>
  </rowFields>
  <rowItems count="12">
    <i>
      <x/>
    </i>
    <i>
      <x v="1"/>
    </i>
    <i>
      <x v="2"/>
    </i>
    <i>
      <x v="3"/>
    </i>
    <i>
      <x v="4"/>
    </i>
    <i>
      <x v="5"/>
    </i>
    <i>
      <x v="6"/>
    </i>
    <i>
      <x v="7"/>
    </i>
    <i>
      <x v="8"/>
    </i>
    <i>
      <x v="9"/>
    </i>
    <i>
      <x v="10"/>
    </i>
    <i>
      <x v="11"/>
    </i>
  </rowItems>
  <colFields count="1">
    <field x="-2"/>
  </colFields>
  <colItems count="2">
    <i>
      <x/>
    </i>
    <i i="1">
      <x v="1"/>
    </i>
  </colItems>
  <dataFields count="2">
    <dataField name="Sum of Revenue" fld="1" baseField="0" baseItem="0" numFmtId="170"/>
    <dataField name="Sum of Quantity Sold" fld="4" baseField="0" baseItem="0" numFmtId="1"/>
  </dataFields>
  <formats count="3">
    <format dxfId="213">
      <pivotArea outline="0" collapsedLevelsAreSubtotals="1" fieldPosition="0"/>
    </format>
    <format dxfId="212">
      <pivotArea outline="0" collapsedLevelsAreSubtotals="1" fieldPosition="0">
        <references count="1">
          <reference field="4294967294" count="1" selected="0">
            <x v="0"/>
          </reference>
        </references>
      </pivotArea>
    </format>
    <format dxfId="211">
      <pivotArea outline="0" collapsedLevelsAreSubtotals="1" fieldPosition="0">
        <references count="1">
          <reference field="4294967294" count="1" selected="0">
            <x v="1"/>
          </reference>
        </references>
      </pivotArea>
    </format>
  </formats>
  <pivotHierarchies count="61">
    <pivotHierarchy dragToData="1"/>
    <pivotHierarchy multipleItemSelectionAllowed="1" dragToData="1">
      <members count="1" level="1">
        <member name="[Table1].[Year].&amp;[202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Users"/>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onversion Rate (%)"/>
    <pivotHierarchy dragToData="1"/>
    <pivotHierarchy dragToData="1"/>
    <pivotHierarchy dragToData="1" caption="Max of Conversion Rat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6030860-8BC2-4A9A-A614-42A77BB24698}" name="PivotTable49" cacheId="435" applyNumberFormats="0" applyBorderFormats="0" applyFontFormats="0" applyPatternFormats="0" applyAlignmentFormats="0" applyWidthHeightFormats="1" dataCaption="Values" updatedVersion="8" minRefreshableVersion="5" useAutoFormatting="1" subtotalHiddenItems="1" rowGrandTotals="0" itemPrintTitles="1" createdVersion="8" indent="0" outline="1" outlineData="1" multipleFieldFilters="0" chartFormat="21" rowHeaderCaption="Source">
  <location ref="I59:J63"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name="Sum of User Retention Rate %" fld="1" showDataAs="percentOfTotal" baseField="0" baseItem="3" numFmtId="10"/>
  </dataFields>
  <formats count="2">
    <format dxfId="215">
      <pivotArea outline="0" collapsedLevelsAreSubtotals="1" fieldPosition="0"/>
    </format>
    <format dxfId="214">
      <pivotArea outline="0" fieldPosition="0">
        <references count="1">
          <reference field="4294967294" count="1">
            <x v="0"/>
          </reference>
        </references>
      </pivotArea>
    </format>
  </formats>
  <chartFormats count="1">
    <chartFormat chart="11" format="2" series="1">
      <pivotArea type="data" outline="0" fieldPosition="0">
        <references count="1">
          <reference field="4294967294" count="1" selected="0">
            <x v="0"/>
          </reference>
        </references>
      </pivotArea>
    </chartFormat>
  </chartFormats>
  <pivotHierarchies count="6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Users"/>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onversion Rate (%)"/>
    <pivotHierarchy dragToData="1"/>
    <pivotHierarchy dragToData="1"/>
    <pivotHierarchy dragToData="1" caption="Max of Conversion Rat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FCCE4F7-CBCD-4454-ADE8-6320753B6F1E}" name="PivotTable4" cacheId="429" applyNumberFormats="0" applyBorderFormats="0" applyFontFormats="0" applyPatternFormats="0" applyAlignmentFormats="0" applyWidthHeightFormats="1" dataCaption="Values" updatedVersion="8" minRefreshableVersion="5" useAutoFormatting="1" subtotalHiddenItems="1" rowGrandTotals="0" itemPrintTitles="1" createdVersion="8" indent="0" outline="1" outlineData="1" multipleFieldFilters="0" rowHeaderCaption="Source">
  <location ref="R88:R89" firstHeaderRow="1" firstDataRow="1" firstDataCol="0"/>
  <pivotFields count="3">
    <pivotField allDrilled="1" subtotalTop="0" showAll="0" defaultSubtotal="0" defaultAttributeDrillState="1">
      <items count="19">
        <item s="1" x="0"/>
        <item s="1" x="1"/>
        <item s="1" x="2"/>
        <item s="1" x="3"/>
        <item s="1" x="4"/>
        <item s="1" x="5"/>
        <item s="1" x="6"/>
        <item s="1" x="7"/>
        <item s="1" x="8"/>
        <item s="1" x="9"/>
        <item s="1" x="10"/>
        <item s="1" x="11"/>
        <item s="1" x="12"/>
        <item s="1" x="13"/>
        <item s="1" x="14"/>
        <item s="1" x="15"/>
        <item s="1" x="16"/>
        <item s="1" x="17"/>
        <item s="1" x="18"/>
      </items>
    </pivotField>
    <pivotField allDrilled="1" subtotalTop="0" showAll="0" dataSourceSort="1" defaultSubtotal="0" defaultAttributeDrillState="1"/>
    <pivotField dataField="1" subtotalTop="0" showAll="0" defaultSubtotal="0"/>
  </pivotFields>
  <rowItems count="1">
    <i/>
  </rowItems>
  <colItems count="1">
    <i/>
  </colItems>
  <dataFields count="1">
    <dataField name="Sum of Pageviews" fld="2" baseField="0" baseItem="0"/>
  </dataFields>
  <formats count="1">
    <format dxfId="216">
      <pivotArea outline="0" collapsedLevelsAreSubtotals="1" fieldPosition="0"/>
    </format>
  </formats>
  <pivotHierarchies count="61">
    <pivotHierarchy dragToData="1"/>
    <pivotHierarchy multipleItemSelectionAllowed="1" dragToData="1">
      <members count="1" level="1">
        <member name="[Table1].[Year].&amp;[202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Users"/>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onversion Rate (%)"/>
    <pivotHierarchy dragToData="1"/>
    <pivotHierarchy dragToData="1"/>
    <pivotHierarchy dragToData="1" caption="Max of Conversion Rat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E83A5B1-10A0-416C-B042-89F17D6E5C42}" name="PivotTable16" cacheId="39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rowHeaderCaption="Year">
  <location ref="J8:L11"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name="Sum of Users" fld="1" baseField="0" baseItem="0"/>
    <dataField name="Sum of Transactions" fld="2" baseField="0" baseItem="0"/>
  </dataFields>
  <pivotHierarchies count="6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Us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eb Analytic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EA5392D-CBDD-4202-9697-72CE266AC816}" name="PivotTable10" cacheId="390" applyNumberFormats="0" applyBorderFormats="0" applyFontFormats="0" applyPatternFormats="0" applyAlignmentFormats="0" applyWidthHeightFormats="1" dataCaption="Values" updatedVersion="8" minRefreshableVersion="5" useAutoFormatting="1" subtotalHiddenItems="1" rowGrandTotals="0" itemPrintTitles="1" createdVersion="8" indent="0" outline="1" outlineData="1" multipleFieldFilters="0" chartFormat="14" rowHeaderCaption="Year">
  <location ref="D3:E15"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2">
    <i>
      <x/>
    </i>
    <i>
      <x v="1"/>
    </i>
    <i>
      <x v="2"/>
    </i>
    <i>
      <x v="3"/>
    </i>
    <i>
      <x v="4"/>
    </i>
    <i>
      <x v="5"/>
    </i>
    <i>
      <x v="6"/>
    </i>
    <i>
      <x v="7"/>
    </i>
    <i>
      <x v="8"/>
    </i>
    <i>
      <x v="9"/>
    </i>
    <i>
      <x v="10"/>
    </i>
    <i>
      <x v="11"/>
    </i>
  </rowItems>
  <colItems count="1">
    <i/>
  </colItems>
  <dataFields count="1">
    <dataField name="Sum of Users" fld="1" baseField="0" baseItem="0" numFmtId="172"/>
  </dataFields>
  <formats count="1">
    <format dxfId="217">
      <pivotArea outline="0" collapsedLevelsAreSubtotals="1" fieldPosition="0"/>
    </format>
  </formats>
  <pivotHierarchies count="6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m of Users"/>
    <pivotHierarchy dragToData="1" caption="Average of Us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eb Analytic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___Medium" xr10:uid="{D9675A4E-ABC9-481F-946F-DA2125EF8845}" sourceName="[Table1].[Source / Medium]">
  <pivotTables>
    <pivotTable tabId="5" name="PivotTable49"/>
  </pivotTables>
  <data>
    <olap pivotCacheId="624448162">
      <levels count="2">
        <level uniqueName="[Table1].[Source / Medium].[(All)]" sourceCaption="(All)" count="0"/>
        <level uniqueName="[Table1].[Source / Medium].[Source / Medium]" sourceCaption="Source / Medium" count="38">
          <ranges>
            <range startItem="0">
              <i n="[Table1].[Source / Medium].&amp;[A]" c="A"/>
              <i n="[Table1].[Source / Medium].&amp;[AA]" c="AA"/>
              <i n="[Table1].[Source / Medium].&amp;[B]" c="B"/>
              <i n="[Table1].[Source / Medium].&amp;[BB]" c="BB"/>
              <i n="[Table1].[Source / Medium].&amp;[C]" c="C"/>
              <i n="[Table1].[Source / Medium].&amp;[CC]" c="CC"/>
              <i n="[Table1].[Source / Medium].&amp;[D]" c="D"/>
              <i n="[Table1].[Source / Medium].&amp;[DD]" c="DD"/>
              <i n="[Table1].[Source / Medium].&amp;[E]" c="E"/>
              <i n="[Table1].[Source / Medium].&amp;[EE]" c="EE"/>
              <i n="[Table1].[Source / Medium].&amp;[euromessage / push]" c="euromessage / push"/>
              <i n="[Table1].[Source / Medium].&amp;[F]" c="F"/>
              <i n="[Table1].[Source / Medium].&amp;[FF]" c="FF"/>
              <i n="[Table1].[Source / Medium].&amp;[G]" c="G"/>
              <i n="[Table1].[Source / Medium].&amp;[GG]" c="GG"/>
              <i n="[Table1].[Source / Medium].&amp;[H]" c="H"/>
              <i n="[Table1].[Source / Medium].&amp;[HH]" c="HH"/>
              <i n="[Table1].[Source / Medium].&amp;[I]" c="I"/>
              <i n="[Table1].[Source / Medium].&amp;[II]" c="II"/>
              <i n="[Table1].[Source / Medium].&amp;[J]" c="J"/>
              <i n="[Table1].[Source / Medium].&amp;[JJ]" c="JJ"/>
              <i n="[Table1].[Source / Medium].&amp;[K]" c="K"/>
              <i n="[Table1].[Source / Medium].&amp;[KK]" c="KK"/>
              <i n="[Table1].[Source / Medium].&amp;[L]" c="L"/>
              <i n="[Table1].[Source / Medium].&amp;[l.K]" c="l.K"/>
              <i n="[Table1].[Source / Medium].&amp;[l.M]" c="l.M"/>
              <i n="[Table1].[Source / Medium].&amp;[lI]" c="lI"/>
              <i n="[Table1].[Source / Medium].&amp;[M]" c="M"/>
              <i n="[Table1].[Source / Medium].&amp;[N]" c="N"/>
              <i n="[Table1].[Source / Medium].&amp;[O]" c="O"/>
              <i n="[Table1].[Source / Medium].&amp;[P]" c="P"/>
              <i n="[Table1].[Source / Medium].&amp;[R]" c="R"/>
              <i n="[Table1].[Source / Medium].&amp;[S]" c="S"/>
              <i n="[Table1].[Source / Medium].&amp;[T]" c="T"/>
              <i n="[Table1].[Source / Medium].&amp;[U]" c="U"/>
              <i n="[Table1].[Source / Medium].&amp;[V]" c="V"/>
              <i n="[Table1].[Source / Medium].&amp;[Y]" c="Y"/>
              <i n="[Table1].[Source / Medium].&amp;[Z]" c="Z"/>
            </range>
          </ranges>
        </level>
      </levels>
      <selections count="1">
        <selection n="[Table1].[Source / Mediu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urce / Medium" xr10:uid="{EEF4AB9D-CF76-4263-AC4C-96020E213608}" cache="Slicer_Source___Medium" caption="Source / Medium" columnCount="3" level="1" style="SlicerStyleDark6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440EAA-E2FF-4A28-9E2C-69D9016222D7}" name="Table1" displayName="Table1" ref="A1:W248" totalsRowShown="0">
  <autoFilter ref="A1:W248" xr:uid="{42440EAA-E2FF-4A28-9E2C-69D9016222D7}">
    <filterColumn colId="15">
      <filters>
        <filter val="1"/>
        <filter val="1,150"/>
        <filter val="1,360"/>
        <filter val="1,430"/>
        <filter val="1,504"/>
        <filter val="1,927"/>
        <filter val="1,987"/>
        <filter val="10"/>
        <filter val="101"/>
        <filter val="11"/>
        <filter val="110"/>
        <filter val="112"/>
        <filter val="116"/>
        <filter val="117"/>
        <filter val="118"/>
        <filter val="12"/>
        <filter val="120"/>
        <filter val="122"/>
        <filter val="123"/>
        <filter val="129"/>
        <filter val="13"/>
        <filter val="130"/>
        <filter val="131"/>
        <filter val="132"/>
        <filter val="14"/>
        <filter val="144"/>
        <filter val="15"/>
        <filter val="16"/>
        <filter val="165"/>
        <filter val="169"/>
        <filter val="17"/>
        <filter val="170"/>
        <filter val="173"/>
        <filter val="174"/>
        <filter val="179"/>
        <filter val="18"/>
        <filter val="181"/>
        <filter val="182"/>
        <filter val="19"/>
        <filter val="2"/>
        <filter val="2,402"/>
        <filter val="20"/>
        <filter val="21"/>
        <filter val="216"/>
        <filter val="22"/>
        <filter val="228"/>
        <filter val="23"/>
        <filter val="231"/>
        <filter val="237"/>
        <filter val="24"/>
        <filter val="25"/>
        <filter val="259"/>
        <filter val="26"/>
        <filter val="261"/>
        <filter val="27"/>
        <filter val="28"/>
        <filter val="29"/>
        <filter val="290"/>
        <filter val="3"/>
        <filter val="31"/>
        <filter val="315"/>
        <filter val="316"/>
        <filter val="317"/>
        <filter val="318"/>
        <filter val="319"/>
        <filter val="325"/>
        <filter val="329"/>
        <filter val="341"/>
        <filter val="343"/>
        <filter val="353"/>
        <filter val="356"/>
        <filter val="36"/>
        <filter val="361"/>
        <filter val="37"/>
        <filter val="374"/>
        <filter val="377"/>
        <filter val="38"/>
        <filter val="39"/>
        <filter val="397"/>
        <filter val="4"/>
        <filter val="415"/>
        <filter val="419"/>
        <filter val="42"/>
        <filter val="43"/>
        <filter val="442"/>
        <filter val="47"/>
        <filter val="482"/>
        <filter val="488"/>
        <filter val="489"/>
        <filter val="5"/>
        <filter val="500"/>
        <filter val="52"/>
        <filter val="530"/>
        <filter val="532"/>
        <filter val="56"/>
        <filter val="599"/>
        <filter val="6"/>
        <filter val="60"/>
        <filter val="607"/>
        <filter val="612"/>
        <filter val="635"/>
        <filter val="678"/>
        <filter val="68"/>
        <filter val="69"/>
        <filter val="7"/>
        <filter val="72"/>
        <filter val="739"/>
        <filter val="742"/>
        <filter val="76"/>
        <filter val="777"/>
        <filter val="79"/>
        <filter val="8"/>
        <filter val="819"/>
        <filter val="82"/>
        <filter val="829"/>
        <filter val="84"/>
        <filter val="843"/>
        <filter val="87"/>
        <filter val="9"/>
        <filter val="96"/>
        <filter val="98"/>
        <filter val="981"/>
      </filters>
    </filterColumn>
  </autoFilter>
  <tableColumns count="23">
    <tableColumn id="1" xr3:uid="{EDC58A83-DCDC-430B-825D-7075555EC694}" name="Source / Medium"/>
    <tableColumn id="2" xr3:uid="{F3EFA50A-2B4F-4447-9473-6C8DA72AAD94}" name="Year"/>
    <tableColumn id="3" xr3:uid="{56C31310-D784-4A38-8C4E-373BC5A3DC6D}" name="Date" dataDxfId="231">
      <calculatedColumnFormula>DATE(B2,D2,1)</calculatedColumnFormula>
    </tableColumn>
    <tableColumn id="4" xr3:uid="{C9283B4C-03A4-4EC5-BB4C-FC8D3D0D0A6C}" name="Month of the year"/>
    <tableColumn id="5" xr3:uid="{A923D0E2-843F-4DA6-8246-8D972FA7F8D1}" name="Users"/>
    <tableColumn id="6" xr3:uid="{5BD23A3D-4934-4CE6-8694-C210896BBEAE}" name="New Users"/>
    <tableColumn id="7" xr3:uid="{60B26B6E-3FA3-4AC9-8D2E-76A9173A1E4C}" name="Returning Users" dataDxfId="230">
      <calculatedColumnFormula>E2-F2</calculatedColumnFormula>
    </tableColumn>
    <tableColumn id="8" xr3:uid="{F5A2E0F5-A504-40F3-8B70-D09974FC13ED}" name="Sessions"/>
    <tableColumn id="9" xr3:uid="{AFEF533B-EEC2-4905-896B-B8C7CAC6BA2C}" name="Bounce Rate" dataDxfId="229"/>
    <tableColumn id="10" xr3:uid="{10791EE5-08F3-4568-A4B4-F36A92A10E0C}" name="Pageviews"/>
    <tableColumn id="11" xr3:uid="{5D17694A-B958-47BC-A68F-B97E27208AD5}" name="Avg. Session Duration" dataDxfId="228"/>
    <tableColumn id="12" xr3:uid="{64DEC106-A7E8-4299-B7A1-2885EFBD0CE3}" name="Avg PageViews/Session" dataDxfId="227">
      <calculatedColumnFormula>J2/H2</calculatedColumnFormula>
    </tableColumn>
    <tableColumn id="13" xr3:uid="{A1092973-7270-4B72-AFEA-D574AE7CF9E0}" name="Conversion Rate (%)" dataDxfId="226" dataCellStyle="Percent"/>
    <tableColumn id="14" xr3:uid="{69A895ED-54D8-4046-AEC0-568646A98239}" name="Transactions"/>
    <tableColumn id="15" xr3:uid="{94AAE0F4-A623-4179-A4EA-D5624C236097}" name="Revenue" dataDxfId="225"/>
    <tableColumn id="16" xr3:uid="{0985FAD7-11D3-4D06-880F-0401A8CD2524}" name="Quantity Sold"/>
    <tableColumn id="17" xr3:uid="{A02A3D5F-8E33-41E4-A3AC-EED7985E263B}" name="User Retention Rate %" dataDxfId="224">
      <calculatedColumnFormula>(G2/E2)*100</calculatedColumnFormula>
    </tableColumn>
    <tableColumn id="18" xr3:uid="{7E08B8A5-01AE-4AD8-A322-DEAF9AB24F4B}" name="Revenue Per User" dataDxfId="223">
      <calculatedColumnFormula>O2/E2</calculatedColumnFormula>
    </tableColumn>
    <tableColumn id="19" xr3:uid="{B1CB0C52-10A3-4E59-8698-0ED89C0EE7E9}" name="Revenue Per Session" dataDxfId="222">
      <calculatedColumnFormula>O2/H2</calculatedColumnFormula>
    </tableColumn>
    <tableColumn id="20" xr3:uid="{C273D1E3-273C-4AD7-8E69-D9FF6654F9B4}" name="Revenue Per Transactions" dataDxfId="221">
      <calculatedColumnFormula>O2/N2</calculatedColumnFormula>
    </tableColumn>
    <tableColumn id="21" xr3:uid="{1AA19DFC-12D5-4E52-8447-48507E9A850B}" name="Cost Per Conversion %" dataDxfId="220">
      <calculatedColumnFormula>1/M2</calculatedColumnFormula>
    </tableColumn>
    <tableColumn id="22" xr3:uid="{7FDCFA73-FB95-419B-AA3F-AEDFD0627759}" name="Average Conversion Rate in 2020" dataDxfId="219"/>
    <tableColumn id="23" xr3:uid="{6FA90493-391D-4126-870F-3A798C1B1DBA}" name="Average Conversion rate 2019" dataDxfId="218">
      <calculatedColumnFormula>AVERAGEIF($B$2:$B$247,2019,$M$2:$M$247)</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Frosted Glass">
      <a:fillStyleLst>
        <a:solidFill>
          <a:schemeClr val="phClr"/>
        </a:solidFill>
        <a:gradFill rotWithShape="1">
          <a:gsLst>
            <a:gs pos="0">
              <a:schemeClr val="phClr">
                <a:tint val="1000"/>
                <a:satMod val="100000"/>
              </a:schemeClr>
            </a:gs>
            <a:gs pos="68000">
              <a:schemeClr val="phClr">
                <a:tint val="77000"/>
                <a:satMod val="100000"/>
              </a:schemeClr>
            </a:gs>
            <a:gs pos="81000">
              <a:schemeClr val="phClr">
                <a:tint val="79000"/>
                <a:satMod val="100000"/>
              </a:schemeClr>
            </a:gs>
            <a:gs pos="86000">
              <a:schemeClr val="phClr">
                <a:tint val="73000"/>
                <a:satMod val="100000"/>
              </a:schemeClr>
            </a:gs>
            <a:gs pos="100000">
              <a:schemeClr val="phClr">
                <a:tint val="35000"/>
                <a:satMod val="100000"/>
              </a:schemeClr>
            </a:gs>
          </a:gsLst>
          <a:lin ang="5400000" scaled="0"/>
        </a:gradFill>
        <a:gradFill rotWithShape="1">
          <a:gsLst>
            <a:gs pos="0">
              <a:schemeClr val="phClr">
                <a:tint val="73000"/>
                <a:shade val="100000"/>
                <a:satMod val="150000"/>
              </a:schemeClr>
            </a:gs>
            <a:gs pos="25000">
              <a:schemeClr val="phClr">
                <a:tint val="96000"/>
                <a:shade val="80000"/>
                <a:satMod val="105000"/>
              </a:schemeClr>
            </a:gs>
            <a:gs pos="38000">
              <a:schemeClr val="phClr">
                <a:tint val="96000"/>
                <a:shade val="59000"/>
                <a:satMod val="120000"/>
              </a:schemeClr>
            </a:gs>
            <a:gs pos="55000">
              <a:schemeClr val="phClr">
                <a:tint val="100000"/>
                <a:shade val="57000"/>
                <a:satMod val="120000"/>
              </a:schemeClr>
            </a:gs>
            <a:gs pos="80000">
              <a:schemeClr val="phClr">
                <a:tint val="100000"/>
                <a:shade val="56000"/>
                <a:satMod val="145000"/>
              </a:schemeClr>
            </a:gs>
            <a:gs pos="88000">
              <a:schemeClr val="phClr">
                <a:tint val="100000"/>
                <a:shade val="63000"/>
                <a:satMod val="160000"/>
              </a:schemeClr>
            </a:gs>
            <a:gs pos="100000">
              <a:schemeClr val="phClr">
                <a:tint val="99000"/>
                <a:shade val="100000"/>
                <a:satMod val="155000"/>
              </a:schemeClr>
            </a:gs>
          </a:gsLst>
          <a:lin ang="54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scene3d>
            <a:camera prst="orthographicFront">
              <a:rot lat="0" lon="0" rev="0"/>
            </a:camera>
            <a:lightRig rig="glow" dir="tl">
              <a:rot lat="0" lon="0" rev="1800000"/>
            </a:lightRig>
          </a:scene3d>
          <a:sp3d contourW="10160" prstMaterial="dkEdge">
            <a:bevelT w="0" h="0" prst="angle"/>
            <a:contourClr>
              <a:schemeClr val="phClr">
                <a:shade val="30000"/>
                <a:satMod val="150000"/>
              </a:schemeClr>
            </a:contourClr>
          </a:sp3d>
        </a:effectStyle>
        <a:effectStyle>
          <a:effectLst>
            <a:glow rad="50800">
              <a:schemeClr val="phClr">
                <a:tint val="68000"/>
                <a:shade val="93000"/>
                <a:alpha val="37000"/>
                <a:satMod val="250000"/>
              </a:schemeClr>
            </a:glow>
          </a:effectLst>
          <a:scene3d>
            <a:camera prst="orthographicFront">
              <a:rot lat="0" lon="0" rev="0"/>
            </a:camera>
            <a:lightRig rig="glow" dir="t">
              <a:rot lat="0" lon="0" rev="1800000"/>
            </a:lightRig>
          </a:scene3d>
          <a:sp3d contourW="10160" prstMaterial="dkEdge">
            <a:bevelT w="20320" h="19050" prst="angle"/>
            <a:contourClr>
              <a:schemeClr val="phClr">
                <a:shade val="30000"/>
                <a:satMod val="15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85F755A5-7483-46E1-AFEC-312C4BC6B978}" sourceName="[Table1].[Date]">
  <pivotTables>
    <pivotTable tabId="5" name="PivotTable5"/>
    <pivotTable tabId="5" name="PivotTable1"/>
    <pivotTable tabId="5" name="PivotTable10"/>
    <pivotTable tabId="5" name="PivotTable11"/>
    <pivotTable tabId="5" name="PivotTable16"/>
    <pivotTable tabId="5" name="PivotTable17"/>
    <pivotTable tabId="5" name="PivotTable18"/>
    <pivotTable tabId="5" name="PivotTable19"/>
    <pivotTable tabId="5" name="PivotTable2"/>
    <pivotTable tabId="5" name="PivotTable20"/>
    <pivotTable tabId="5" name="PivotTable21"/>
    <pivotTable tabId="5" name="PivotTable24"/>
    <pivotTable tabId="5" name="PivotTable25"/>
    <pivotTable tabId="5" name="PivotTable26"/>
    <pivotTable tabId="5" name="PivotTable27"/>
    <pivotTable tabId="5" name="PivotTable4"/>
    <pivotTable tabId="5" name="PivotTable48"/>
    <pivotTable tabId="5" name="PivotTable49"/>
    <pivotTable tabId="5" name="PivotTable6"/>
    <pivotTable tabId="5" name="PivotTable9"/>
  </pivotTables>
  <state minimalRefreshVersion="6" lastRefreshVersion="6" pivotCacheId="1381442872"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FB1ECD2-C1E9-47AE-A986-C4E603E744C5}" cache="Timeline_Date" caption="Date" level="0" selectionLevel="0" scrollPosition="2019-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rinterSettings" Target="../printerSettings/printerSettings1.bin"/><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15CE1-F9B9-4AAE-908B-68C656442E50}">
  <dimension ref="A1:Y248"/>
  <sheetViews>
    <sheetView topLeftCell="L1" workbookViewId="0">
      <selection sqref="A1:W1"/>
    </sheetView>
  </sheetViews>
  <sheetFormatPr defaultRowHeight="15" x14ac:dyDescent="0.25"/>
  <cols>
    <col min="1" max="1" width="18.7109375" customWidth="1"/>
    <col min="2" max="2" width="6.5703125" customWidth="1"/>
    <col min="3" max="3" width="16.7109375" customWidth="1"/>
    <col min="4" max="4" width="18.28515625" customWidth="1"/>
    <col min="5" max="5" width="7.85546875" bestFit="1" customWidth="1"/>
    <col min="6" max="6" width="11.7109375" customWidth="1"/>
    <col min="7" max="7" width="25.28515625" customWidth="1"/>
    <col min="8" max="8" width="9.85546875" customWidth="1"/>
    <col min="9" max="9" width="13.42578125" customWidth="1"/>
    <col min="10" max="10" width="11.7109375" customWidth="1"/>
    <col min="11" max="11" width="21.140625" customWidth="1"/>
    <col min="12" max="12" width="22.7109375" customWidth="1"/>
    <col min="13" max="13" width="19.7109375" customWidth="1"/>
    <col min="14" max="14" width="13.42578125" customWidth="1"/>
    <col min="15" max="15" width="12.5703125" bestFit="1" customWidth="1"/>
    <col min="16" max="16" width="14.28515625" customWidth="1"/>
    <col min="17" max="17" width="21.42578125" customWidth="1"/>
    <col min="18" max="18" width="21.7109375" customWidth="1"/>
    <col min="19" max="19" width="20.140625" customWidth="1"/>
    <col min="20" max="20" width="24.42578125" customWidth="1"/>
    <col min="21" max="21" width="21.5703125" customWidth="1"/>
    <col min="22" max="22" width="31.28515625" customWidth="1"/>
    <col min="23" max="23" width="28.140625" customWidth="1"/>
  </cols>
  <sheetData>
    <row r="1" spans="1:23" x14ac:dyDescent="0.25">
      <c r="A1" t="s">
        <v>0</v>
      </c>
      <c r="B1" t="s">
        <v>1</v>
      </c>
      <c r="C1" t="s">
        <v>51</v>
      </c>
      <c r="D1" t="s">
        <v>2</v>
      </c>
      <c r="E1" t="s">
        <v>3</v>
      </c>
      <c r="F1" t="s">
        <v>4</v>
      </c>
      <c r="G1" t="s">
        <v>52</v>
      </c>
      <c r="H1" t="s">
        <v>5</v>
      </c>
      <c r="I1" t="s">
        <v>6</v>
      </c>
      <c r="J1" t="s">
        <v>7</v>
      </c>
      <c r="K1" t="s">
        <v>8</v>
      </c>
      <c r="L1" t="s">
        <v>53</v>
      </c>
      <c r="M1" t="s">
        <v>9</v>
      </c>
      <c r="N1" t="s">
        <v>10</v>
      </c>
      <c r="O1" t="s">
        <v>11</v>
      </c>
      <c r="P1" t="s">
        <v>12</v>
      </c>
      <c r="Q1" t="s">
        <v>54</v>
      </c>
      <c r="R1" t="s">
        <v>55</v>
      </c>
      <c r="S1" t="s">
        <v>56</v>
      </c>
      <c r="T1" t="s">
        <v>57</v>
      </c>
      <c r="U1" t="s">
        <v>58</v>
      </c>
      <c r="V1" t="s">
        <v>66</v>
      </c>
      <c r="W1" t="s">
        <v>65</v>
      </c>
    </row>
    <row r="2" spans="1:23" x14ac:dyDescent="0.25">
      <c r="A2" t="s">
        <v>13</v>
      </c>
      <c r="B2">
        <v>2019</v>
      </c>
      <c r="C2" s="4">
        <f>DATE(B2,D2,1)</f>
        <v>43770</v>
      </c>
      <c r="D2">
        <v>11</v>
      </c>
      <c r="E2" s="1">
        <v>126870</v>
      </c>
      <c r="F2" s="1">
        <v>104020</v>
      </c>
      <c r="G2" s="1">
        <f>E2-F2</f>
        <v>22850</v>
      </c>
      <c r="H2" s="1">
        <v>194667</v>
      </c>
      <c r="I2" s="2">
        <v>0.71589999999999998</v>
      </c>
      <c r="J2" s="1">
        <v>455159</v>
      </c>
      <c r="K2" s="3">
        <v>8.2175925925925927E-4</v>
      </c>
      <c r="L2" s="8">
        <f>J2/H2</f>
        <v>2.3381415442781774</v>
      </c>
      <c r="M2" s="5">
        <v>0.2</v>
      </c>
      <c r="N2">
        <v>394</v>
      </c>
      <c r="O2" s="7">
        <v>83244</v>
      </c>
      <c r="P2">
        <v>482</v>
      </c>
      <c r="Q2" s="10">
        <f>(G2/E2)*100</f>
        <v>18.010561992590841</v>
      </c>
      <c r="R2" s="6">
        <f>O2/E2</f>
        <v>0.65613620241191772</v>
      </c>
      <c r="S2" s="6">
        <f>O2/H2</f>
        <v>0.42762255544082972</v>
      </c>
      <c r="T2" s="6">
        <f>O2/N2</f>
        <v>211.27918781725887</v>
      </c>
      <c r="U2" s="10">
        <f>1/M2</f>
        <v>5</v>
      </c>
      <c r="V2" s="6">
        <f>AVERAGEIF($B$2:$B$247,2020,$M$2:$M$247)</f>
        <v>3.3031210191082798</v>
      </c>
      <c r="W2" s="6">
        <f>AVERAGEIF($B$2:$B$247,2019,$M$2:$M$247)</f>
        <v>2.9876404494382021</v>
      </c>
    </row>
    <row r="3" spans="1:23" x14ac:dyDescent="0.25">
      <c r="A3" t="s">
        <v>13</v>
      </c>
      <c r="B3">
        <v>2020</v>
      </c>
      <c r="C3" s="4">
        <f t="shared" ref="C3:C63" si="0">DATE(B3,D3,1)</f>
        <v>43952</v>
      </c>
      <c r="D3">
        <v>5</v>
      </c>
      <c r="E3" s="1">
        <v>120625</v>
      </c>
      <c r="F3" s="1">
        <v>98574</v>
      </c>
      <c r="G3" s="1">
        <f t="shared" ref="G3:G63" si="1">E3-F3</f>
        <v>22051</v>
      </c>
      <c r="H3" s="1">
        <v>194114</v>
      </c>
      <c r="I3" s="2">
        <v>0.64559999999999995</v>
      </c>
      <c r="J3" s="1">
        <v>559509</v>
      </c>
      <c r="K3" s="3">
        <v>1.0648148148148149E-3</v>
      </c>
      <c r="L3" s="3">
        <f t="shared" ref="L3:L63" si="2">J3/H3</f>
        <v>2.8823732445882317</v>
      </c>
      <c r="M3" s="5">
        <v>0.69</v>
      </c>
      <c r="N3" s="1">
        <v>1347</v>
      </c>
      <c r="O3" s="7">
        <v>203552</v>
      </c>
      <c r="P3" s="1">
        <v>2402</v>
      </c>
      <c r="Q3" s="10">
        <f t="shared" ref="Q3:Q63" si="3">(G3/E3)*100</f>
        <v>18.280621761658029</v>
      </c>
      <c r="R3" s="6">
        <f t="shared" ref="R3:R63" si="4">O3/E3</f>
        <v>1.687477720207254</v>
      </c>
      <c r="S3" s="6">
        <f t="shared" ref="S3:S63" si="5">O3/H3</f>
        <v>1.0486209134838291</v>
      </c>
      <c r="T3" s="6">
        <f t="shared" ref="T3:T63" si="6">O3/N3</f>
        <v>151.11507052709726</v>
      </c>
      <c r="U3" s="10">
        <f t="shared" ref="U3:U63" si="7">1/M3</f>
        <v>1.4492753623188408</v>
      </c>
      <c r="V3" s="6"/>
      <c r="W3" s="6"/>
    </row>
    <row r="4" spans="1:23" x14ac:dyDescent="0.25">
      <c r="A4" t="s">
        <v>13</v>
      </c>
      <c r="B4">
        <v>2019</v>
      </c>
      <c r="C4" s="4">
        <f t="shared" si="0"/>
        <v>43739</v>
      </c>
      <c r="D4">
        <v>10</v>
      </c>
      <c r="E4" s="1">
        <v>123361</v>
      </c>
      <c r="F4" s="1">
        <v>104308</v>
      </c>
      <c r="G4" s="1">
        <f t="shared" si="1"/>
        <v>19053</v>
      </c>
      <c r="H4" s="1">
        <v>181175</v>
      </c>
      <c r="I4" s="2">
        <v>0.41909999999999997</v>
      </c>
      <c r="J4" s="1">
        <v>368907</v>
      </c>
      <c r="K4" s="3">
        <v>7.5231481481481482E-4</v>
      </c>
      <c r="L4" s="3">
        <f t="shared" si="2"/>
        <v>2.0361915275286324</v>
      </c>
      <c r="M4" s="5">
        <v>0.26</v>
      </c>
      <c r="N4">
        <v>477</v>
      </c>
      <c r="O4" s="7">
        <v>94282</v>
      </c>
      <c r="P4">
        <v>599</v>
      </c>
      <c r="Q4" s="10">
        <f t="shared" si="3"/>
        <v>15.444913708546462</v>
      </c>
      <c r="R4" s="6">
        <f t="shared" si="4"/>
        <v>0.76427720268156063</v>
      </c>
      <c r="S4" s="6">
        <f t="shared" si="5"/>
        <v>0.52039188629777844</v>
      </c>
      <c r="T4" s="6">
        <f t="shared" si="6"/>
        <v>197.65618448637318</v>
      </c>
      <c r="U4" s="10">
        <f t="shared" si="7"/>
        <v>3.8461538461538458</v>
      </c>
      <c r="V4" s="6"/>
      <c r="W4" s="6"/>
    </row>
    <row r="5" spans="1:23" x14ac:dyDescent="0.25">
      <c r="A5" t="s">
        <v>13</v>
      </c>
      <c r="B5">
        <v>2019</v>
      </c>
      <c r="C5" s="4">
        <f t="shared" si="0"/>
        <v>43709</v>
      </c>
      <c r="D5">
        <v>9</v>
      </c>
      <c r="E5" s="1">
        <v>106551</v>
      </c>
      <c r="F5" s="1">
        <v>88428</v>
      </c>
      <c r="G5" s="1">
        <f t="shared" si="1"/>
        <v>18123</v>
      </c>
      <c r="H5" s="1">
        <v>170329</v>
      </c>
      <c r="I5" s="2">
        <v>0.75919999999999999</v>
      </c>
      <c r="J5" s="1">
        <v>368803</v>
      </c>
      <c r="K5" s="3">
        <v>7.0601851851851847E-4</v>
      </c>
      <c r="L5" s="3">
        <f t="shared" si="2"/>
        <v>2.1652390373923409</v>
      </c>
      <c r="M5" s="5">
        <v>0.18</v>
      </c>
      <c r="N5">
        <v>311</v>
      </c>
      <c r="O5" s="7">
        <v>54971</v>
      </c>
      <c r="P5">
        <v>415</v>
      </c>
      <c r="Q5" s="10">
        <f t="shared" si="3"/>
        <v>17.008756370188923</v>
      </c>
      <c r="R5" s="6">
        <f t="shared" si="4"/>
        <v>0.51591256769058946</v>
      </c>
      <c r="S5" s="6">
        <f t="shared" si="5"/>
        <v>0.32273423785732319</v>
      </c>
      <c r="T5" s="6">
        <f t="shared" si="6"/>
        <v>176.7556270096463</v>
      </c>
      <c r="U5" s="10">
        <f t="shared" si="7"/>
        <v>5.5555555555555554</v>
      </c>
      <c r="V5" s="6"/>
      <c r="W5" s="6"/>
    </row>
    <row r="6" spans="1:23" x14ac:dyDescent="0.25">
      <c r="A6" t="s">
        <v>13</v>
      </c>
      <c r="B6">
        <v>2020</v>
      </c>
      <c r="C6" s="4">
        <f t="shared" si="0"/>
        <v>43983</v>
      </c>
      <c r="D6">
        <v>6</v>
      </c>
      <c r="E6" s="1">
        <v>102123</v>
      </c>
      <c r="F6" s="1">
        <v>82461</v>
      </c>
      <c r="G6" s="1">
        <f t="shared" si="1"/>
        <v>19662</v>
      </c>
      <c r="H6" s="1">
        <v>163446</v>
      </c>
      <c r="I6" s="2">
        <v>0.67100000000000004</v>
      </c>
      <c r="J6" s="1">
        <v>425410</v>
      </c>
      <c r="K6" s="3">
        <v>9.2592592592592596E-4</v>
      </c>
      <c r="L6" s="3">
        <f t="shared" si="2"/>
        <v>2.6027556501841587</v>
      </c>
      <c r="M6" s="5">
        <v>0.7</v>
      </c>
      <c r="N6" s="1">
        <v>1138</v>
      </c>
      <c r="O6" s="7">
        <v>167113</v>
      </c>
      <c r="P6" s="1">
        <v>1987</v>
      </c>
      <c r="Q6" s="10">
        <f t="shared" si="3"/>
        <v>19.253253429687732</v>
      </c>
      <c r="R6" s="6">
        <f t="shared" si="4"/>
        <v>1.6363894519354112</v>
      </c>
      <c r="S6" s="6">
        <f t="shared" si="5"/>
        <v>1.0224355444611677</v>
      </c>
      <c r="T6" s="6">
        <f t="shared" si="6"/>
        <v>146.84797891036908</v>
      </c>
      <c r="U6" s="10">
        <f t="shared" si="7"/>
        <v>1.4285714285714286</v>
      </c>
      <c r="V6" s="6"/>
      <c r="W6" s="6"/>
    </row>
    <row r="7" spans="1:23" x14ac:dyDescent="0.25">
      <c r="A7" t="s">
        <v>13</v>
      </c>
      <c r="B7">
        <v>2019</v>
      </c>
      <c r="C7" s="4">
        <f t="shared" si="0"/>
        <v>43800</v>
      </c>
      <c r="D7">
        <v>12</v>
      </c>
      <c r="E7" s="1">
        <v>91043</v>
      </c>
      <c r="F7" s="1">
        <v>70326</v>
      </c>
      <c r="G7" s="1">
        <f t="shared" si="1"/>
        <v>20717</v>
      </c>
      <c r="H7" s="1">
        <v>142637</v>
      </c>
      <c r="I7" s="2">
        <v>0.67059999999999997</v>
      </c>
      <c r="J7" s="1">
        <v>370798</v>
      </c>
      <c r="K7" s="3">
        <v>9.2592592592592596E-4</v>
      </c>
      <c r="L7" s="3">
        <f t="shared" si="2"/>
        <v>2.5995919712276616</v>
      </c>
      <c r="M7" s="5">
        <v>0.34</v>
      </c>
      <c r="N7">
        <v>486</v>
      </c>
      <c r="O7" s="7">
        <v>103001</v>
      </c>
      <c r="P7">
        <v>607</v>
      </c>
      <c r="Q7" s="10">
        <f t="shared" si="3"/>
        <v>22.755181617477454</v>
      </c>
      <c r="R7" s="6">
        <f t="shared" si="4"/>
        <v>1.1313445295080347</v>
      </c>
      <c r="S7" s="6">
        <f t="shared" si="5"/>
        <v>0.72211978659113696</v>
      </c>
      <c r="T7" s="6">
        <f t="shared" si="6"/>
        <v>211.93621399176953</v>
      </c>
      <c r="U7" s="10">
        <f t="shared" si="7"/>
        <v>2.9411764705882351</v>
      </c>
      <c r="V7" s="6"/>
      <c r="W7" s="6"/>
    </row>
    <row r="8" spans="1:23" x14ac:dyDescent="0.25">
      <c r="A8" t="s">
        <v>13</v>
      </c>
      <c r="B8">
        <v>2020</v>
      </c>
      <c r="C8" s="4">
        <f t="shared" si="0"/>
        <v>43831</v>
      </c>
      <c r="D8">
        <v>1</v>
      </c>
      <c r="E8" s="1">
        <v>83031</v>
      </c>
      <c r="F8" s="1">
        <v>64103</v>
      </c>
      <c r="G8" s="1">
        <f t="shared" si="1"/>
        <v>18928</v>
      </c>
      <c r="H8" s="1">
        <v>133736</v>
      </c>
      <c r="I8" s="2">
        <v>0.6946</v>
      </c>
      <c r="J8" s="1">
        <v>373356</v>
      </c>
      <c r="K8" s="3">
        <v>9.6064814814814819E-4</v>
      </c>
      <c r="L8" s="3">
        <f t="shared" si="2"/>
        <v>2.791738948375905</v>
      </c>
      <c r="M8" s="5">
        <v>0.45</v>
      </c>
      <c r="N8">
        <v>601</v>
      </c>
      <c r="O8" s="7">
        <v>128552</v>
      </c>
      <c r="P8">
        <v>777</v>
      </c>
      <c r="Q8" s="10">
        <f t="shared" si="3"/>
        <v>22.796304994520121</v>
      </c>
      <c r="R8" s="6">
        <f t="shared" si="4"/>
        <v>1.548241018414809</v>
      </c>
      <c r="S8" s="6">
        <f t="shared" si="5"/>
        <v>0.9612370640665191</v>
      </c>
      <c r="T8" s="6">
        <f t="shared" si="6"/>
        <v>213.89683860232944</v>
      </c>
      <c r="U8" s="10">
        <f t="shared" si="7"/>
        <v>2.2222222222222223</v>
      </c>
      <c r="V8" s="6"/>
      <c r="W8" s="6"/>
    </row>
    <row r="9" spans="1:23" x14ac:dyDescent="0.25">
      <c r="A9" t="s">
        <v>13</v>
      </c>
      <c r="B9">
        <v>2020</v>
      </c>
      <c r="C9" s="4">
        <f t="shared" si="0"/>
        <v>44013</v>
      </c>
      <c r="D9">
        <v>7</v>
      </c>
      <c r="E9" s="1">
        <v>84343</v>
      </c>
      <c r="F9" s="1">
        <v>73239</v>
      </c>
      <c r="G9" s="1">
        <f t="shared" si="1"/>
        <v>11104</v>
      </c>
      <c r="H9" s="1">
        <v>125423</v>
      </c>
      <c r="I9" s="2">
        <v>0.71160000000000001</v>
      </c>
      <c r="J9" s="1">
        <v>292263</v>
      </c>
      <c r="K9" s="3">
        <v>8.3333333333333339E-4</v>
      </c>
      <c r="L9" s="3">
        <f t="shared" si="2"/>
        <v>2.3302185404590863</v>
      </c>
      <c r="M9" s="5">
        <v>0.57999999999999996</v>
      </c>
      <c r="N9">
        <v>730</v>
      </c>
      <c r="O9" s="7">
        <v>98161</v>
      </c>
      <c r="P9" s="1">
        <v>1360</v>
      </c>
      <c r="Q9" s="10">
        <f t="shared" si="3"/>
        <v>13.165289354184697</v>
      </c>
      <c r="R9" s="6">
        <f t="shared" si="4"/>
        <v>1.1638310233214375</v>
      </c>
      <c r="S9" s="6">
        <f t="shared" si="5"/>
        <v>0.78263954777034517</v>
      </c>
      <c r="T9" s="6">
        <f t="shared" si="6"/>
        <v>134.46712328767123</v>
      </c>
      <c r="U9" s="10">
        <f t="shared" si="7"/>
        <v>1.7241379310344829</v>
      </c>
      <c r="V9" s="6"/>
      <c r="W9" s="6"/>
    </row>
    <row r="10" spans="1:23" x14ac:dyDescent="0.25">
      <c r="A10" t="s">
        <v>13</v>
      </c>
      <c r="B10">
        <v>2020</v>
      </c>
      <c r="C10" s="4">
        <f t="shared" si="0"/>
        <v>43862</v>
      </c>
      <c r="D10">
        <v>2</v>
      </c>
      <c r="E10" s="1">
        <v>82626</v>
      </c>
      <c r="F10" s="1">
        <v>68145</v>
      </c>
      <c r="G10" s="1">
        <f t="shared" si="1"/>
        <v>14481</v>
      </c>
      <c r="H10" s="1">
        <v>125318</v>
      </c>
      <c r="I10" s="2">
        <v>0.7006</v>
      </c>
      <c r="J10" s="1">
        <v>328822</v>
      </c>
      <c r="K10" s="3">
        <v>9.7222222222222219E-4</v>
      </c>
      <c r="L10" s="3">
        <f t="shared" si="2"/>
        <v>2.6239007963740244</v>
      </c>
      <c r="M10" s="5">
        <v>0.52</v>
      </c>
      <c r="N10">
        <v>657</v>
      </c>
      <c r="O10" s="7">
        <v>126137</v>
      </c>
      <c r="P10">
        <v>981</v>
      </c>
      <c r="Q10" s="10">
        <f t="shared" si="3"/>
        <v>17.525960351463223</v>
      </c>
      <c r="R10" s="6">
        <f t="shared" si="4"/>
        <v>1.5266017960448286</v>
      </c>
      <c r="S10" s="6">
        <f t="shared" si="5"/>
        <v>1.0065353740085223</v>
      </c>
      <c r="T10" s="6">
        <f t="shared" si="6"/>
        <v>191.98934550989347</v>
      </c>
      <c r="U10" s="10">
        <f t="shared" si="7"/>
        <v>1.9230769230769229</v>
      </c>
      <c r="V10" s="6"/>
      <c r="W10" s="6"/>
    </row>
    <row r="11" spans="1:23" x14ac:dyDescent="0.25">
      <c r="A11" t="s">
        <v>13</v>
      </c>
      <c r="B11">
        <v>2020</v>
      </c>
      <c r="C11" s="4">
        <f t="shared" si="0"/>
        <v>43891</v>
      </c>
      <c r="D11">
        <v>3</v>
      </c>
      <c r="E11" s="1">
        <v>73844</v>
      </c>
      <c r="F11" s="1">
        <v>61557</v>
      </c>
      <c r="G11" s="1">
        <f t="shared" si="1"/>
        <v>12287</v>
      </c>
      <c r="H11" s="1">
        <v>110546</v>
      </c>
      <c r="I11" s="2">
        <v>0.72189999999999999</v>
      </c>
      <c r="J11" s="1">
        <v>266187</v>
      </c>
      <c r="K11" s="3">
        <v>8.6805555555555551E-4</v>
      </c>
      <c r="L11" s="3">
        <f t="shared" si="2"/>
        <v>2.4079297306098817</v>
      </c>
      <c r="M11" s="5">
        <v>0.48</v>
      </c>
      <c r="N11">
        <v>531</v>
      </c>
      <c r="O11" s="7">
        <v>96195</v>
      </c>
      <c r="P11">
        <v>843</v>
      </c>
      <c r="Q11" s="10">
        <f t="shared" si="3"/>
        <v>16.639131141324956</v>
      </c>
      <c r="R11" s="6">
        <f t="shared" si="4"/>
        <v>1.3026786197930773</v>
      </c>
      <c r="S11" s="6">
        <f t="shared" si="5"/>
        <v>0.87018073923977346</v>
      </c>
      <c r="T11" s="6">
        <f t="shared" si="6"/>
        <v>181.15819209039549</v>
      </c>
      <c r="U11" s="10">
        <f t="shared" si="7"/>
        <v>2.0833333333333335</v>
      </c>
      <c r="V11" s="6"/>
      <c r="W11" s="6"/>
    </row>
    <row r="12" spans="1:23" x14ac:dyDescent="0.25">
      <c r="A12" t="s">
        <v>14</v>
      </c>
      <c r="B12">
        <v>2019</v>
      </c>
      <c r="C12" s="4">
        <f t="shared" si="0"/>
        <v>43800</v>
      </c>
      <c r="D12">
        <v>12</v>
      </c>
      <c r="E12" s="1">
        <v>88579</v>
      </c>
      <c r="F12" s="1">
        <v>75361</v>
      </c>
      <c r="G12" s="1">
        <f t="shared" si="1"/>
        <v>13218</v>
      </c>
      <c r="H12" s="1">
        <v>106966</v>
      </c>
      <c r="I12" s="2">
        <v>0.56200000000000006</v>
      </c>
      <c r="J12" s="1">
        <v>333480</v>
      </c>
      <c r="K12" s="3">
        <v>1.3310185185185185E-3</v>
      </c>
      <c r="L12" s="3">
        <f t="shared" si="2"/>
        <v>3.1176261615840546</v>
      </c>
      <c r="M12" s="5">
        <v>0.21</v>
      </c>
      <c r="N12">
        <v>225</v>
      </c>
      <c r="O12" s="7">
        <v>47724</v>
      </c>
      <c r="P12">
        <v>317</v>
      </c>
      <c r="Q12" s="10">
        <f t="shared" si="3"/>
        <v>14.922272773456463</v>
      </c>
      <c r="R12" s="6">
        <f t="shared" si="4"/>
        <v>0.53877329841158739</v>
      </c>
      <c r="S12" s="6">
        <f t="shared" si="5"/>
        <v>0.44616046220294298</v>
      </c>
      <c r="T12" s="6">
        <f t="shared" si="6"/>
        <v>212.10666666666665</v>
      </c>
      <c r="U12" s="10">
        <f t="shared" si="7"/>
        <v>4.7619047619047619</v>
      </c>
      <c r="V12" s="6"/>
      <c r="W12" s="6"/>
    </row>
    <row r="13" spans="1:23" x14ac:dyDescent="0.25">
      <c r="A13" t="s">
        <v>13</v>
      </c>
      <c r="B13">
        <v>2020</v>
      </c>
      <c r="C13" s="4">
        <f t="shared" si="0"/>
        <v>43922</v>
      </c>
      <c r="D13">
        <v>4</v>
      </c>
      <c r="E13" s="1">
        <v>73349</v>
      </c>
      <c r="F13" s="1">
        <v>62794</v>
      </c>
      <c r="G13" s="1">
        <f t="shared" si="1"/>
        <v>10555</v>
      </c>
      <c r="H13" s="1">
        <v>104146</v>
      </c>
      <c r="I13" s="2">
        <v>0.67120000000000002</v>
      </c>
      <c r="J13" s="1">
        <v>288195</v>
      </c>
      <c r="K13" s="3">
        <v>9.837962962962962E-4</v>
      </c>
      <c r="L13" s="3">
        <f t="shared" si="2"/>
        <v>2.7672210166497031</v>
      </c>
      <c r="M13" s="5">
        <v>0.6</v>
      </c>
      <c r="N13">
        <v>622</v>
      </c>
      <c r="O13" s="7">
        <v>95367</v>
      </c>
      <c r="P13" s="1">
        <v>1150</v>
      </c>
      <c r="Q13" s="10">
        <f t="shared" si="3"/>
        <v>14.39010756792867</v>
      </c>
      <c r="R13" s="6">
        <f t="shared" si="4"/>
        <v>1.3001813248987717</v>
      </c>
      <c r="S13" s="6">
        <f t="shared" si="5"/>
        <v>0.91570487584736815</v>
      </c>
      <c r="T13" s="6">
        <f t="shared" si="6"/>
        <v>153.32315112540192</v>
      </c>
      <c r="U13" s="10">
        <f t="shared" si="7"/>
        <v>1.6666666666666667</v>
      </c>
      <c r="V13" s="6"/>
      <c r="W13" s="6"/>
    </row>
    <row r="14" spans="1:23" x14ac:dyDescent="0.25">
      <c r="A14" t="s">
        <v>15</v>
      </c>
      <c r="B14">
        <v>2020</v>
      </c>
      <c r="C14" s="4">
        <f t="shared" si="0"/>
        <v>43952</v>
      </c>
      <c r="D14">
        <v>5</v>
      </c>
      <c r="E14" s="1">
        <v>68869</v>
      </c>
      <c r="F14" s="1">
        <v>55769</v>
      </c>
      <c r="G14" s="1">
        <f t="shared" si="1"/>
        <v>13100</v>
      </c>
      <c r="H14" s="1">
        <v>99838</v>
      </c>
      <c r="I14" s="2">
        <v>0.50980000000000003</v>
      </c>
      <c r="J14" s="1">
        <v>325311</v>
      </c>
      <c r="K14" s="3">
        <v>1.1342592592592593E-3</v>
      </c>
      <c r="L14" s="3">
        <f t="shared" si="2"/>
        <v>3.2583885895150142</v>
      </c>
      <c r="M14" s="5">
        <v>0.47</v>
      </c>
      <c r="N14">
        <v>471</v>
      </c>
      <c r="O14" s="7">
        <v>58744</v>
      </c>
      <c r="P14">
        <v>819</v>
      </c>
      <c r="Q14" s="10">
        <f t="shared" si="3"/>
        <v>19.021620758251174</v>
      </c>
      <c r="R14" s="6">
        <f t="shared" si="4"/>
        <v>0.8529817479562648</v>
      </c>
      <c r="S14" s="6">
        <f t="shared" si="5"/>
        <v>0.58839319697910619</v>
      </c>
      <c r="T14" s="6">
        <f t="shared" si="6"/>
        <v>124.72186836518047</v>
      </c>
      <c r="U14" s="10">
        <f t="shared" si="7"/>
        <v>2.1276595744680851</v>
      </c>
      <c r="V14" s="6"/>
      <c r="W14" s="6"/>
    </row>
    <row r="15" spans="1:23" x14ac:dyDescent="0.25">
      <c r="A15" t="s">
        <v>14</v>
      </c>
      <c r="B15">
        <v>2020</v>
      </c>
      <c r="C15" s="4">
        <f t="shared" si="0"/>
        <v>43831</v>
      </c>
      <c r="D15">
        <v>1</v>
      </c>
      <c r="E15" s="1">
        <v>82671</v>
      </c>
      <c r="F15" s="1">
        <v>72520</v>
      </c>
      <c r="G15" s="1">
        <f t="shared" si="1"/>
        <v>10151</v>
      </c>
      <c r="H15" s="1">
        <v>99500</v>
      </c>
      <c r="I15" s="2">
        <v>0.60960000000000003</v>
      </c>
      <c r="J15" s="1">
        <v>299723</v>
      </c>
      <c r="K15" s="3">
        <v>1.25E-3</v>
      </c>
      <c r="L15" s="3">
        <f t="shared" si="2"/>
        <v>3.0122914572864321</v>
      </c>
      <c r="M15" s="5">
        <v>0.25</v>
      </c>
      <c r="N15">
        <v>253</v>
      </c>
      <c r="O15" s="7">
        <v>55954</v>
      </c>
      <c r="P15">
        <v>377</v>
      </c>
      <c r="Q15" s="10">
        <f t="shared" si="3"/>
        <v>12.278791837524645</v>
      </c>
      <c r="R15" s="6">
        <f t="shared" si="4"/>
        <v>0.67682742436888388</v>
      </c>
      <c r="S15" s="6">
        <f t="shared" si="5"/>
        <v>0.56235175879396981</v>
      </c>
      <c r="T15" s="6">
        <f t="shared" si="6"/>
        <v>221.16205533596838</v>
      </c>
      <c r="U15" s="10">
        <f t="shared" si="7"/>
        <v>4</v>
      </c>
      <c r="V15" s="6"/>
      <c r="W15" s="6"/>
    </row>
    <row r="16" spans="1:23" x14ac:dyDescent="0.25">
      <c r="A16" t="s">
        <v>14</v>
      </c>
      <c r="B16">
        <v>2019</v>
      </c>
      <c r="C16" s="4">
        <f t="shared" si="0"/>
        <v>43770</v>
      </c>
      <c r="D16">
        <v>11</v>
      </c>
      <c r="E16" s="1">
        <v>79783</v>
      </c>
      <c r="F16" s="1">
        <v>65883</v>
      </c>
      <c r="G16" s="1">
        <f t="shared" si="1"/>
        <v>13900</v>
      </c>
      <c r="H16" s="1">
        <v>98400</v>
      </c>
      <c r="I16" s="2">
        <v>0.55169999999999997</v>
      </c>
      <c r="J16" s="1">
        <v>342257</v>
      </c>
      <c r="K16" s="3">
        <v>1.5393518518518519E-3</v>
      </c>
      <c r="L16" s="3">
        <f t="shared" si="2"/>
        <v>3.478221544715447</v>
      </c>
      <c r="M16" s="5">
        <v>0.22</v>
      </c>
      <c r="N16">
        <v>218</v>
      </c>
      <c r="O16" s="7">
        <v>57597</v>
      </c>
      <c r="P16">
        <v>343</v>
      </c>
      <c r="Q16" s="10">
        <f t="shared" si="3"/>
        <v>17.42225787448454</v>
      </c>
      <c r="R16" s="6">
        <f t="shared" si="4"/>
        <v>0.72192070992567337</v>
      </c>
      <c r="S16" s="6">
        <f t="shared" si="5"/>
        <v>0.58533536585365853</v>
      </c>
      <c r="T16" s="6">
        <f t="shared" si="6"/>
        <v>264.20642201834863</v>
      </c>
      <c r="U16" s="10">
        <f t="shared" si="7"/>
        <v>4.5454545454545459</v>
      </c>
      <c r="V16" s="6"/>
      <c r="W16" s="6"/>
    </row>
    <row r="17" spans="1:23" x14ac:dyDescent="0.25">
      <c r="A17" t="s">
        <v>14</v>
      </c>
      <c r="B17">
        <v>2020</v>
      </c>
      <c r="C17" s="4">
        <f t="shared" si="0"/>
        <v>43862</v>
      </c>
      <c r="D17">
        <v>2</v>
      </c>
      <c r="E17" s="1">
        <v>69129</v>
      </c>
      <c r="F17" s="1">
        <v>58861</v>
      </c>
      <c r="G17" s="1">
        <f t="shared" si="1"/>
        <v>10268</v>
      </c>
      <c r="H17" s="1">
        <v>82905</v>
      </c>
      <c r="I17" s="2">
        <v>0.61339999999999995</v>
      </c>
      <c r="J17" s="1">
        <v>238736</v>
      </c>
      <c r="K17" s="3">
        <v>1.2847222222222223E-3</v>
      </c>
      <c r="L17" s="3">
        <f t="shared" si="2"/>
        <v>2.8796333152403353</v>
      </c>
      <c r="M17" s="5">
        <v>0.35</v>
      </c>
      <c r="N17">
        <v>294</v>
      </c>
      <c r="O17" s="7">
        <v>63161</v>
      </c>
      <c r="P17">
        <v>500</v>
      </c>
      <c r="Q17" s="10">
        <f t="shared" si="3"/>
        <v>14.853390038912757</v>
      </c>
      <c r="R17" s="6">
        <f t="shared" si="4"/>
        <v>0.91366864846880469</v>
      </c>
      <c r="S17" s="6">
        <f t="shared" si="5"/>
        <v>0.76184789819673115</v>
      </c>
      <c r="T17" s="6">
        <f t="shared" si="6"/>
        <v>214.83333333333334</v>
      </c>
      <c r="U17" s="10">
        <f t="shared" si="7"/>
        <v>2.8571428571428572</v>
      </c>
      <c r="V17" s="6"/>
      <c r="W17" s="6"/>
    </row>
    <row r="18" spans="1:23" x14ac:dyDescent="0.25">
      <c r="A18" t="s">
        <v>14</v>
      </c>
      <c r="B18">
        <v>2019</v>
      </c>
      <c r="C18" s="4">
        <f t="shared" si="0"/>
        <v>43739</v>
      </c>
      <c r="D18">
        <v>10</v>
      </c>
      <c r="E18" s="1">
        <v>65953</v>
      </c>
      <c r="F18" s="1">
        <v>55972</v>
      </c>
      <c r="G18" s="1">
        <f t="shared" si="1"/>
        <v>9981</v>
      </c>
      <c r="H18" s="1">
        <v>80301</v>
      </c>
      <c r="I18" s="2">
        <v>0.36720000000000003</v>
      </c>
      <c r="J18" s="1">
        <v>263957</v>
      </c>
      <c r="K18" s="3">
        <v>1.5509259259259259E-3</v>
      </c>
      <c r="L18" s="3">
        <f t="shared" si="2"/>
        <v>3.287094805793203</v>
      </c>
      <c r="M18" s="5">
        <v>0.33</v>
      </c>
      <c r="N18">
        <v>268</v>
      </c>
      <c r="O18" s="7">
        <v>60862</v>
      </c>
      <c r="P18">
        <v>419</v>
      </c>
      <c r="Q18" s="10">
        <f t="shared" si="3"/>
        <v>15.133504162054798</v>
      </c>
      <c r="R18" s="6">
        <f t="shared" si="4"/>
        <v>0.922808666777857</v>
      </c>
      <c r="S18" s="6">
        <f t="shared" si="5"/>
        <v>0.75792331353283271</v>
      </c>
      <c r="T18" s="6">
        <f t="shared" si="6"/>
        <v>227.09701492537314</v>
      </c>
      <c r="U18" s="10">
        <f t="shared" si="7"/>
        <v>3.0303030303030303</v>
      </c>
      <c r="V18" s="6"/>
      <c r="W18" s="6"/>
    </row>
    <row r="19" spans="1:23" x14ac:dyDescent="0.25">
      <c r="A19" t="s">
        <v>15</v>
      </c>
      <c r="B19">
        <v>2020</v>
      </c>
      <c r="C19" s="4">
        <f t="shared" si="0"/>
        <v>43922</v>
      </c>
      <c r="D19">
        <v>4</v>
      </c>
      <c r="E19" s="1">
        <v>50516</v>
      </c>
      <c r="F19" s="1">
        <v>43034</v>
      </c>
      <c r="G19" s="1">
        <f t="shared" si="1"/>
        <v>7482</v>
      </c>
      <c r="H19" s="1">
        <v>74190</v>
      </c>
      <c r="I19" s="2">
        <v>0.50749999999999995</v>
      </c>
      <c r="J19" s="1">
        <v>247484</v>
      </c>
      <c r="K19" s="3">
        <v>1.0995370370370371E-3</v>
      </c>
      <c r="L19" s="3">
        <f t="shared" si="2"/>
        <v>3.3358134519477018</v>
      </c>
      <c r="M19" s="5">
        <v>0.38</v>
      </c>
      <c r="N19">
        <v>279</v>
      </c>
      <c r="O19" s="7">
        <v>31663</v>
      </c>
      <c r="P19">
        <v>489</v>
      </c>
      <c r="Q19" s="10">
        <f t="shared" si="3"/>
        <v>14.811148942909178</v>
      </c>
      <c r="R19" s="6">
        <f t="shared" si="4"/>
        <v>0.62679151160028501</v>
      </c>
      <c r="S19" s="6">
        <f t="shared" si="5"/>
        <v>0.42678258525407736</v>
      </c>
      <c r="T19" s="6">
        <f t="shared" si="6"/>
        <v>113.48745519713262</v>
      </c>
      <c r="U19" s="10">
        <f t="shared" si="7"/>
        <v>2.6315789473684212</v>
      </c>
      <c r="V19" s="6"/>
      <c r="W19" s="6"/>
    </row>
    <row r="20" spans="1:23" x14ac:dyDescent="0.25">
      <c r="A20" t="s">
        <v>14</v>
      </c>
      <c r="B20">
        <v>2020</v>
      </c>
      <c r="C20" s="4">
        <f t="shared" si="0"/>
        <v>43952</v>
      </c>
      <c r="D20">
        <v>5</v>
      </c>
      <c r="E20" s="1">
        <v>55342</v>
      </c>
      <c r="F20" s="1">
        <v>48064</v>
      </c>
      <c r="G20" s="1">
        <f t="shared" si="1"/>
        <v>7278</v>
      </c>
      <c r="H20" s="1">
        <v>66180</v>
      </c>
      <c r="I20" s="2">
        <v>0.58299999999999996</v>
      </c>
      <c r="J20" s="1">
        <v>213302</v>
      </c>
      <c r="K20" s="3">
        <v>1.4699074074074074E-3</v>
      </c>
      <c r="L20" s="3">
        <f t="shared" si="2"/>
        <v>3.2230583257781809</v>
      </c>
      <c r="M20" s="5">
        <v>0.52</v>
      </c>
      <c r="N20">
        <v>341</v>
      </c>
      <c r="O20" s="7">
        <v>54626</v>
      </c>
      <c r="P20">
        <v>742</v>
      </c>
      <c r="Q20" s="10">
        <f t="shared" si="3"/>
        <v>13.150952260489321</v>
      </c>
      <c r="R20" s="6">
        <f t="shared" si="4"/>
        <v>0.98706226735571534</v>
      </c>
      <c r="S20" s="6">
        <f t="shared" si="5"/>
        <v>0.8254155333937746</v>
      </c>
      <c r="T20" s="6">
        <f t="shared" si="6"/>
        <v>160.19354838709677</v>
      </c>
      <c r="U20" s="10">
        <f t="shared" si="7"/>
        <v>1.9230769230769229</v>
      </c>
      <c r="V20" s="6"/>
      <c r="W20" s="6"/>
    </row>
    <row r="21" spans="1:23" x14ac:dyDescent="0.25">
      <c r="A21" t="s">
        <v>17</v>
      </c>
      <c r="B21">
        <v>2019</v>
      </c>
      <c r="C21" s="4">
        <f t="shared" si="0"/>
        <v>43739</v>
      </c>
      <c r="D21">
        <v>10</v>
      </c>
      <c r="E21" s="1">
        <v>33658</v>
      </c>
      <c r="F21" s="1">
        <v>4533</v>
      </c>
      <c r="G21" s="1">
        <f t="shared" si="1"/>
        <v>29125</v>
      </c>
      <c r="H21" s="1">
        <v>62972</v>
      </c>
      <c r="I21" s="2">
        <v>0.34039999999999998</v>
      </c>
      <c r="J21" s="1">
        <v>164136</v>
      </c>
      <c r="K21" s="3">
        <v>1.2268518518518518E-3</v>
      </c>
      <c r="L21" s="3">
        <f t="shared" si="2"/>
        <v>2.6064917741218321</v>
      </c>
      <c r="M21" s="5">
        <v>0.25</v>
      </c>
      <c r="N21">
        <v>156</v>
      </c>
      <c r="O21" s="7">
        <v>30842</v>
      </c>
      <c r="P21">
        <v>261</v>
      </c>
      <c r="Q21" s="10">
        <f t="shared" si="3"/>
        <v>86.532176599916809</v>
      </c>
      <c r="R21" s="6">
        <f t="shared" si="4"/>
        <v>0.91633489809257829</v>
      </c>
      <c r="S21" s="6">
        <f t="shared" si="5"/>
        <v>0.48977323254779903</v>
      </c>
      <c r="T21" s="6">
        <f t="shared" si="6"/>
        <v>197.7051282051282</v>
      </c>
      <c r="U21" s="10">
        <f t="shared" si="7"/>
        <v>4</v>
      </c>
      <c r="V21" s="6"/>
      <c r="W21" s="6"/>
    </row>
    <row r="22" spans="1:23" x14ac:dyDescent="0.25">
      <c r="A22" t="s">
        <v>14</v>
      </c>
      <c r="B22">
        <v>2020</v>
      </c>
      <c r="C22" s="4">
        <f t="shared" si="0"/>
        <v>43983</v>
      </c>
      <c r="D22">
        <v>6</v>
      </c>
      <c r="E22" s="1">
        <v>50645</v>
      </c>
      <c r="F22" s="1">
        <v>44609</v>
      </c>
      <c r="G22" s="1">
        <f t="shared" si="1"/>
        <v>6036</v>
      </c>
      <c r="H22" s="1">
        <v>60789</v>
      </c>
      <c r="I22" s="2">
        <v>0.60440000000000005</v>
      </c>
      <c r="J22" s="1">
        <v>181511</v>
      </c>
      <c r="K22" s="3">
        <v>1.3657407407407407E-3</v>
      </c>
      <c r="L22" s="3">
        <f t="shared" si="2"/>
        <v>2.9859185049926795</v>
      </c>
      <c r="M22" s="5">
        <v>0.53</v>
      </c>
      <c r="N22">
        <v>322</v>
      </c>
      <c r="O22" s="7">
        <v>47867</v>
      </c>
      <c r="P22">
        <v>678</v>
      </c>
      <c r="Q22" s="10">
        <f t="shared" si="3"/>
        <v>11.91825451673413</v>
      </c>
      <c r="R22" s="6">
        <f t="shared" si="4"/>
        <v>0.94514759601145226</v>
      </c>
      <c r="S22" s="6">
        <f t="shared" si="5"/>
        <v>0.78742864663014689</v>
      </c>
      <c r="T22" s="6">
        <f t="shared" si="6"/>
        <v>148.65527950310559</v>
      </c>
      <c r="U22" s="10">
        <f t="shared" si="7"/>
        <v>1.8867924528301885</v>
      </c>
      <c r="V22" s="6"/>
      <c r="W22" s="6"/>
    </row>
    <row r="23" spans="1:23" x14ac:dyDescent="0.25">
      <c r="A23" t="s">
        <v>14</v>
      </c>
      <c r="B23">
        <v>2020</v>
      </c>
      <c r="C23" s="4">
        <f t="shared" si="0"/>
        <v>43891</v>
      </c>
      <c r="D23">
        <v>3</v>
      </c>
      <c r="E23" s="1">
        <v>48288</v>
      </c>
      <c r="F23" s="1">
        <v>41139</v>
      </c>
      <c r="G23" s="1">
        <f t="shared" si="1"/>
        <v>7149</v>
      </c>
      <c r="H23" s="1">
        <v>58580</v>
      </c>
      <c r="I23" s="2">
        <v>0.6119</v>
      </c>
      <c r="J23" s="1">
        <v>174115</v>
      </c>
      <c r="K23" s="3">
        <v>1.3888888888888889E-3</v>
      </c>
      <c r="L23" s="3">
        <f t="shared" si="2"/>
        <v>2.9722601570501879</v>
      </c>
      <c r="M23" s="5">
        <v>0.31</v>
      </c>
      <c r="N23">
        <v>183</v>
      </c>
      <c r="O23" s="7">
        <v>32795</v>
      </c>
      <c r="P23">
        <v>325</v>
      </c>
      <c r="Q23" s="10">
        <f t="shared" si="3"/>
        <v>14.804920477137177</v>
      </c>
      <c r="R23" s="6">
        <f t="shared" si="4"/>
        <v>0.67915424121935053</v>
      </c>
      <c r="S23" s="6">
        <f t="shared" si="5"/>
        <v>0.55983270740867186</v>
      </c>
      <c r="T23" s="6">
        <f t="shared" si="6"/>
        <v>179.20765027322403</v>
      </c>
      <c r="U23" s="10">
        <f t="shared" si="7"/>
        <v>3.2258064516129035</v>
      </c>
      <c r="V23" s="6"/>
      <c r="W23" s="6"/>
    </row>
    <row r="24" spans="1:23" x14ac:dyDescent="0.25">
      <c r="A24" t="s">
        <v>13</v>
      </c>
      <c r="B24">
        <v>2020</v>
      </c>
      <c r="C24" s="4">
        <f t="shared" si="0"/>
        <v>44044</v>
      </c>
      <c r="D24">
        <v>8</v>
      </c>
      <c r="E24" s="1">
        <v>42747</v>
      </c>
      <c r="F24" s="1">
        <v>35935</v>
      </c>
      <c r="G24" s="1">
        <f t="shared" si="1"/>
        <v>6812</v>
      </c>
      <c r="H24" s="1">
        <v>56931</v>
      </c>
      <c r="I24" s="2">
        <v>0.64810000000000001</v>
      </c>
      <c r="J24" s="1">
        <v>149505</v>
      </c>
      <c r="K24" s="3">
        <v>1.0300925925925926E-3</v>
      </c>
      <c r="L24" s="3">
        <f t="shared" si="2"/>
        <v>2.626073668124572</v>
      </c>
      <c r="M24" s="5">
        <v>0.48</v>
      </c>
      <c r="N24">
        <v>272</v>
      </c>
      <c r="O24" s="7">
        <v>43561</v>
      </c>
      <c r="P24">
        <v>530</v>
      </c>
      <c r="Q24" s="10">
        <f t="shared" si="3"/>
        <v>15.93562121318455</v>
      </c>
      <c r="R24" s="6">
        <f t="shared" si="4"/>
        <v>1.0190422719723022</v>
      </c>
      <c r="S24" s="6">
        <f t="shared" si="5"/>
        <v>0.76515430960285258</v>
      </c>
      <c r="T24" s="6">
        <f t="shared" si="6"/>
        <v>160.15073529411765</v>
      </c>
      <c r="U24" s="10">
        <f t="shared" si="7"/>
        <v>2.0833333333333335</v>
      </c>
      <c r="V24" s="6"/>
      <c r="W24" s="6"/>
    </row>
    <row r="25" spans="1:23" x14ac:dyDescent="0.25">
      <c r="A25" t="s">
        <v>17</v>
      </c>
      <c r="B25">
        <v>2019</v>
      </c>
      <c r="C25" s="4">
        <f t="shared" si="0"/>
        <v>43770</v>
      </c>
      <c r="D25">
        <v>11</v>
      </c>
      <c r="E25" s="1">
        <v>31370</v>
      </c>
      <c r="F25" s="1">
        <v>3721</v>
      </c>
      <c r="G25" s="1">
        <f t="shared" si="1"/>
        <v>27649</v>
      </c>
      <c r="H25" s="1">
        <v>55292</v>
      </c>
      <c r="I25" s="2">
        <v>0.62090000000000001</v>
      </c>
      <c r="J25" s="1">
        <v>143387</v>
      </c>
      <c r="K25" s="3">
        <v>1.1805555555555556E-3</v>
      </c>
      <c r="L25" s="3">
        <f t="shared" si="2"/>
        <v>2.59326846560081</v>
      </c>
      <c r="M25" s="5">
        <v>0.16</v>
      </c>
      <c r="N25">
        <v>88</v>
      </c>
      <c r="O25" s="7">
        <v>18327</v>
      </c>
      <c r="P25">
        <v>144</v>
      </c>
      <c r="Q25" s="10">
        <f t="shared" si="3"/>
        <v>88.138348740835198</v>
      </c>
      <c r="R25" s="6">
        <f t="shared" si="4"/>
        <v>0.58422059292317496</v>
      </c>
      <c r="S25" s="6">
        <f t="shared" si="5"/>
        <v>0.3314584388338277</v>
      </c>
      <c r="T25" s="6">
        <f t="shared" si="6"/>
        <v>208.26136363636363</v>
      </c>
      <c r="U25" s="10">
        <f t="shared" si="7"/>
        <v>6.25</v>
      </c>
      <c r="V25" s="6"/>
      <c r="W25" s="6"/>
    </row>
    <row r="26" spans="1:23" x14ac:dyDescent="0.25">
      <c r="A26" t="s">
        <v>15</v>
      </c>
      <c r="B26">
        <v>2020</v>
      </c>
      <c r="C26" s="4">
        <f t="shared" si="0"/>
        <v>43983</v>
      </c>
      <c r="D26">
        <v>6</v>
      </c>
      <c r="E26" s="1">
        <v>36191</v>
      </c>
      <c r="F26" s="1">
        <v>27156</v>
      </c>
      <c r="G26" s="1">
        <f t="shared" si="1"/>
        <v>9035</v>
      </c>
      <c r="H26" s="1">
        <v>51894</v>
      </c>
      <c r="I26" s="2">
        <v>0.49669999999999997</v>
      </c>
      <c r="J26" s="1">
        <v>167903</v>
      </c>
      <c r="K26" s="3">
        <v>1.1226851851851851E-3</v>
      </c>
      <c r="L26" s="3">
        <f t="shared" si="2"/>
        <v>3.2354992870081318</v>
      </c>
      <c r="M26" s="5">
        <v>0.7</v>
      </c>
      <c r="N26">
        <v>364</v>
      </c>
      <c r="O26" s="7">
        <v>42734</v>
      </c>
      <c r="P26">
        <v>635</v>
      </c>
      <c r="Q26" s="10">
        <f t="shared" si="3"/>
        <v>24.964770246746429</v>
      </c>
      <c r="R26" s="6">
        <f t="shared" si="4"/>
        <v>1.1807908043436213</v>
      </c>
      <c r="S26" s="6">
        <f t="shared" si="5"/>
        <v>0.8234863375342043</v>
      </c>
      <c r="T26" s="6">
        <f t="shared" si="6"/>
        <v>117.40109890109891</v>
      </c>
      <c r="U26" s="10">
        <f t="shared" si="7"/>
        <v>1.4285714285714286</v>
      </c>
      <c r="V26" s="6"/>
      <c r="W26" s="6"/>
    </row>
    <row r="27" spans="1:23" x14ac:dyDescent="0.25">
      <c r="A27" t="s">
        <v>14</v>
      </c>
      <c r="B27">
        <v>2020</v>
      </c>
      <c r="C27" s="4">
        <f t="shared" si="0"/>
        <v>44013</v>
      </c>
      <c r="D27">
        <v>7</v>
      </c>
      <c r="E27" s="1">
        <v>43010</v>
      </c>
      <c r="F27" s="1">
        <v>38395</v>
      </c>
      <c r="G27" s="1">
        <f t="shared" si="1"/>
        <v>4615</v>
      </c>
      <c r="H27" s="1">
        <v>50567</v>
      </c>
      <c r="I27" s="2">
        <v>0.62290000000000001</v>
      </c>
      <c r="J27" s="1">
        <v>140013</v>
      </c>
      <c r="K27" s="3">
        <v>1.3194444444444445E-3</v>
      </c>
      <c r="L27" s="3">
        <f t="shared" si="2"/>
        <v>2.7688611149563944</v>
      </c>
      <c r="M27" s="5">
        <v>0.38</v>
      </c>
      <c r="N27">
        <v>190</v>
      </c>
      <c r="O27" s="7">
        <v>27580</v>
      </c>
      <c r="P27">
        <v>341</v>
      </c>
      <c r="Q27" s="10">
        <f t="shared" si="3"/>
        <v>10.730062776098581</v>
      </c>
      <c r="R27" s="6">
        <f t="shared" si="4"/>
        <v>0.64124622180888169</v>
      </c>
      <c r="S27" s="6">
        <f t="shared" si="5"/>
        <v>0.54541499396839832</v>
      </c>
      <c r="T27" s="6">
        <f t="shared" si="6"/>
        <v>145.15789473684211</v>
      </c>
      <c r="U27" s="10">
        <f t="shared" si="7"/>
        <v>2.6315789473684212</v>
      </c>
      <c r="V27" s="6"/>
      <c r="W27" s="6"/>
    </row>
    <row r="28" spans="1:23" x14ac:dyDescent="0.25">
      <c r="A28" t="s">
        <v>14</v>
      </c>
      <c r="B28">
        <v>2020</v>
      </c>
      <c r="C28" s="4">
        <f t="shared" si="0"/>
        <v>44044</v>
      </c>
      <c r="D28">
        <v>8</v>
      </c>
      <c r="E28" s="1">
        <v>42815</v>
      </c>
      <c r="F28" s="1">
        <v>38735</v>
      </c>
      <c r="G28" s="1">
        <f t="shared" si="1"/>
        <v>4080</v>
      </c>
      <c r="H28" s="1">
        <v>50550</v>
      </c>
      <c r="I28" s="2">
        <v>0.63449999999999995</v>
      </c>
      <c r="J28" s="1">
        <v>135664</v>
      </c>
      <c r="K28" s="3">
        <v>1.25E-3</v>
      </c>
      <c r="L28" s="3">
        <f t="shared" si="2"/>
        <v>2.6837586547972303</v>
      </c>
      <c r="M28" s="5">
        <v>0.4</v>
      </c>
      <c r="N28">
        <v>204</v>
      </c>
      <c r="O28" s="7">
        <v>31686</v>
      </c>
      <c r="P28">
        <v>374</v>
      </c>
      <c r="Q28" s="10">
        <f t="shared" si="3"/>
        <v>9.5293705477052431</v>
      </c>
      <c r="R28" s="6">
        <f t="shared" si="4"/>
        <v>0.74006773327104991</v>
      </c>
      <c r="S28" s="6">
        <f t="shared" si="5"/>
        <v>0.62682492581602378</v>
      </c>
      <c r="T28" s="6">
        <f t="shared" si="6"/>
        <v>155.3235294117647</v>
      </c>
      <c r="U28" s="10">
        <f t="shared" si="7"/>
        <v>2.5</v>
      </c>
      <c r="V28" s="6"/>
      <c r="W28" s="6"/>
    </row>
    <row r="29" spans="1:23" x14ac:dyDescent="0.25">
      <c r="A29" t="s">
        <v>14</v>
      </c>
      <c r="B29">
        <v>2019</v>
      </c>
      <c r="C29" s="4">
        <f t="shared" si="0"/>
        <v>43709</v>
      </c>
      <c r="D29">
        <v>9</v>
      </c>
      <c r="E29" s="1">
        <v>40697</v>
      </c>
      <c r="F29" s="1">
        <v>34012</v>
      </c>
      <c r="G29" s="1">
        <f t="shared" si="1"/>
        <v>6685</v>
      </c>
      <c r="H29" s="1">
        <v>48854</v>
      </c>
      <c r="I29" s="2">
        <v>0.55569999999999997</v>
      </c>
      <c r="J29" s="1">
        <v>178347</v>
      </c>
      <c r="K29" s="3">
        <v>1.5740740740740741E-3</v>
      </c>
      <c r="L29" s="3">
        <f t="shared" si="2"/>
        <v>3.650612027674295</v>
      </c>
      <c r="M29" s="5">
        <v>0.24</v>
      </c>
      <c r="N29">
        <v>117</v>
      </c>
      <c r="O29" s="7">
        <v>24924</v>
      </c>
      <c r="P29">
        <v>228</v>
      </c>
      <c r="Q29" s="10">
        <f t="shared" si="3"/>
        <v>16.426272206796568</v>
      </c>
      <c r="R29" s="6">
        <f t="shared" si="4"/>
        <v>0.61242843452834361</v>
      </c>
      <c r="S29" s="6">
        <f t="shared" si="5"/>
        <v>0.51017316903426535</v>
      </c>
      <c r="T29" s="6">
        <f t="shared" si="6"/>
        <v>213.02564102564102</v>
      </c>
      <c r="U29" s="10">
        <f t="shared" si="7"/>
        <v>4.166666666666667</v>
      </c>
      <c r="V29" s="6"/>
      <c r="W29" s="6"/>
    </row>
    <row r="30" spans="1:23" x14ac:dyDescent="0.25">
      <c r="A30" t="s">
        <v>18</v>
      </c>
      <c r="B30">
        <v>2020</v>
      </c>
      <c r="C30" s="4">
        <f t="shared" si="0"/>
        <v>44013</v>
      </c>
      <c r="D30">
        <v>7</v>
      </c>
      <c r="E30" s="1">
        <v>42982</v>
      </c>
      <c r="F30" s="1">
        <v>42730</v>
      </c>
      <c r="G30" s="1">
        <f t="shared" si="1"/>
        <v>252</v>
      </c>
      <c r="H30" s="1">
        <v>45898</v>
      </c>
      <c r="I30" s="2">
        <v>0.86250000000000004</v>
      </c>
      <c r="J30" s="1">
        <v>78133</v>
      </c>
      <c r="K30" s="3">
        <v>3.9351851851851852E-4</v>
      </c>
      <c r="L30" s="3">
        <f t="shared" si="2"/>
        <v>1.7023181837988584</v>
      </c>
      <c r="M30" s="5">
        <v>0.15</v>
      </c>
      <c r="N30">
        <v>67</v>
      </c>
      <c r="O30" s="7">
        <v>9358</v>
      </c>
      <c r="P30">
        <v>112</v>
      </c>
      <c r="Q30" s="10">
        <f t="shared" si="3"/>
        <v>0.58629193615932251</v>
      </c>
      <c r="R30" s="6">
        <f t="shared" si="4"/>
        <v>0.21771904518170396</v>
      </c>
      <c r="S30" s="6">
        <f t="shared" si="5"/>
        <v>0.20388687960259708</v>
      </c>
      <c r="T30" s="6">
        <f t="shared" si="6"/>
        <v>139.67164179104478</v>
      </c>
      <c r="U30" s="10">
        <f t="shared" si="7"/>
        <v>6.666666666666667</v>
      </c>
      <c r="V30" s="6"/>
      <c r="W30" s="6"/>
    </row>
    <row r="31" spans="1:23" x14ac:dyDescent="0.25">
      <c r="A31" t="s">
        <v>15</v>
      </c>
      <c r="B31">
        <v>2020</v>
      </c>
      <c r="C31" s="4">
        <f t="shared" si="0"/>
        <v>43891</v>
      </c>
      <c r="D31">
        <v>3</v>
      </c>
      <c r="E31" s="1">
        <v>25294</v>
      </c>
      <c r="F31" s="1">
        <v>20428</v>
      </c>
      <c r="G31" s="1">
        <f t="shared" si="1"/>
        <v>4866</v>
      </c>
      <c r="H31" s="1">
        <v>40622</v>
      </c>
      <c r="I31" s="2">
        <v>0.53759999999999997</v>
      </c>
      <c r="J31" s="1">
        <v>121931</v>
      </c>
      <c r="K31" s="3">
        <v>1.0185185185185184E-3</v>
      </c>
      <c r="L31" s="3">
        <f t="shared" si="2"/>
        <v>3.001600118162572</v>
      </c>
      <c r="M31" s="5">
        <v>0.51</v>
      </c>
      <c r="N31">
        <v>208</v>
      </c>
      <c r="O31" s="7">
        <v>24097</v>
      </c>
      <c r="P31">
        <v>356</v>
      </c>
      <c r="Q31" s="10">
        <f t="shared" si="3"/>
        <v>19.237763896576261</v>
      </c>
      <c r="R31" s="6">
        <f t="shared" si="4"/>
        <v>0.95267652407685621</v>
      </c>
      <c r="S31" s="6">
        <f t="shared" si="5"/>
        <v>0.59320072866919404</v>
      </c>
      <c r="T31" s="6">
        <f t="shared" si="6"/>
        <v>115.85096153846153</v>
      </c>
      <c r="U31" s="10">
        <f t="shared" si="7"/>
        <v>1.9607843137254901</v>
      </c>
      <c r="V31" s="6"/>
      <c r="W31" s="6"/>
    </row>
    <row r="32" spans="1:23" x14ac:dyDescent="0.25">
      <c r="A32" t="s">
        <v>17</v>
      </c>
      <c r="B32">
        <v>2019</v>
      </c>
      <c r="C32" s="4">
        <f t="shared" si="0"/>
        <v>43800</v>
      </c>
      <c r="D32">
        <v>12</v>
      </c>
      <c r="E32" s="1">
        <v>23435</v>
      </c>
      <c r="F32" s="1">
        <v>4284</v>
      </c>
      <c r="G32" s="1">
        <f t="shared" si="1"/>
        <v>19151</v>
      </c>
      <c r="H32" s="1">
        <v>39880</v>
      </c>
      <c r="I32" s="2">
        <v>0.58840000000000003</v>
      </c>
      <c r="J32" s="1">
        <v>103506</v>
      </c>
      <c r="K32" s="3">
        <v>1.1458333333333333E-3</v>
      </c>
      <c r="L32" s="3">
        <f t="shared" si="2"/>
        <v>2.5954363089267805</v>
      </c>
      <c r="M32" s="5">
        <v>0.34</v>
      </c>
      <c r="N32">
        <v>136</v>
      </c>
      <c r="O32" s="7">
        <v>27026</v>
      </c>
      <c r="P32">
        <v>165</v>
      </c>
      <c r="Q32" s="10">
        <f t="shared" si="3"/>
        <v>81.719650096010241</v>
      </c>
      <c r="R32" s="6">
        <f t="shared" si="4"/>
        <v>1.1532323447834436</v>
      </c>
      <c r="S32" s="6">
        <f t="shared" si="5"/>
        <v>0.67768304914744237</v>
      </c>
      <c r="T32" s="6">
        <f t="shared" si="6"/>
        <v>198.72058823529412</v>
      </c>
      <c r="U32" s="10">
        <f t="shared" si="7"/>
        <v>2.9411764705882351</v>
      </c>
      <c r="V32" s="6"/>
      <c r="W32" s="6"/>
    </row>
    <row r="33" spans="1:23" x14ac:dyDescent="0.25">
      <c r="A33" t="s">
        <v>17</v>
      </c>
      <c r="B33">
        <v>2019</v>
      </c>
      <c r="C33" s="4">
        <f t="shared" si="0"/>
        <v>43709</v>
      </c>
      <c r="D33">
        <v>9</v>
      </c>
      <c r="E33" s="1">
        <v>21325</v>
      </c>
      <c r="F33" s="1">
        <v>2547</v>
      </c>
      <c r="G33" s="1">
        <f t="shared" si="1"/>
        <v>18778</v>
      </c>
      <c r="H33" s="1">
        <v>37821</v>
      </c>
      <c r="I33" s="2">
        <v>0.59750000000000003</v>
      </c>
      <c r="J33" s="1">
        <v>107063</v>
      </c>
      <c r="K33" s="3">
        <v>1.25E-3</v>
      </c>
      <c r="L33" s="3">
        <f t="shared" si="2"/>
        <v>2.8307818407762881</v>
      </c>
      <c r="M33" s="5">
        <v>0.22</v>
      </c>
      <c r="N33">
        <v>85</v>
      </c>
      <c r="O33" s="7">
        <v>13776</v>
      </c>
      <c r="P33">
        <v>131</v>
      </c>
      <c r="Q33" s="10">
        <f t="shared" si="3"/>
        <v>88.056271981242674</v>
      </c>
      <c r="R33" s="6">
        <f t="shared" si="4"/>
        <v>0.64600234466588513</v>
      </c>
      <c r="S33" s="6">
        <f t="shared" si="5"/>
        <v>0.36424208772903943</v>
      </c>
      <c r="T33" s="6">
        <f t="shared" si="6"/>
        <v>162.07058823529411</v>
      </c>
      <c r="U33" s="10">
        <f t="shared" si="7"/>
        <v>4.5454545454545459</v>
      </c>
      <c r="V33" s="6"/>
      <c r="W33" s="6"/>
    </row>
    <row r="34" spans="1:23" x14ac:dyDescent="0.25">
      <c r="A34" t="s">
        <v>17</v>
      </c>
      <c r="B34">
        <v>2020</v>
      </c>
      <c r="C34" s="4">
        <f t="shared" si="0"/>
        <v>43862</v>
      </c>
      <c r="D34">
        <v>2</v>
      </c>
      <c r="E34" s="1">
        <v>20448</v>
      </c>
      <c r="F34" s="1">
        <v>3180</v>
      </c>
      <c r="G34" s="1">
        <f t="shared" si="1"/>
        <v>17268</v>
      </c>
      <c r="H34" s="1">
        <v>37225</v>
      </c>
      <c r="I34" s="2">
        <v>0.61909999999999998</v>
      </c>
      <c r="J34" s="1">
        <v>98988</v>
      </c>
      <c r="K34" s="3">
        <v>1.238425925925926E-3</v>
      </c>
      <c r="L34" s="3">
        <f t="shared" si="2"/>
        <v>2.6591806581598387</v>
      </c>
      <c r="M34" s="5">
        <v>0.49</v>
      </c>
      <c r="N34">
        <v>181</v>
      </c>
      <c r="O34" s="7">
        <v>30487</v>
      </c>
      <c r="P34">
        <v>290</v>
      </c>
      <c r="Q34" s="10">
        <f t="shared" si="3"/>
        <v>84.448356807511743</v>
      </c>
      <c r="R34" s="6">
        <f t="shared" si="4"/>
        <v>1.4909526604068857</v>
      </c>
      <c r="S34" s="6">
        <f t="shared" si="5"/>
        <v>0.81899261249160515</v>
      </c>
      <c r="T34" s="6">
        <f t="shared" si="6"/>
        <v>168.4364640883978</v>
      </c>
      <c r="U34" s="10">
        <f t="shared" si="7"/>
        <v>2.0408163265306123</v>
      </c>
      <c r="V34" s="6"/>
      <c r="W34" s="6"/>
    </row>
    <row r="35" spans="1:23" x14ac:dyDescent="0.25">
      <c r="A35" t="s">
        <v>14</v>
      </c>
      <c r="B35">
        <v>2020</v>
      </c>
      <c r="C35" s="4">
        <f t="shared" si="0"/>
        <v>43922</v>
      </c>
      <c r="D35">
        <v>4</v>
      </c>
      <c r="E35" s="1">
        <v>29989</v>
      </c>
      <c r="F35" s="1">
        <v>24981</v>
      </c>
      <c r="G35" s="1">
        <f t="shared" si="1"/>
        <v>5008</v>
      </c>
      <c r="H35" s="1">
        <v>36920</v>
      </c>
      <c r="I35" s="2">
        <v>0.54520000000000002</v>
      </c>
      <c r="J35" s="1">
        <v>139743</v>
      </c>
      <c r="K35" s="3">
        <v>1.8749999999999999E-3</v>
      </c>
      <c r="L35" s="3">
        <f t="shared" si="2"/>
        <v>3.7850216684723725</v>
      </c>
      <c r="M35" s="5">
        <v>0.6</v>
      </c>
      <c r="N35">
        <v>223</v>
      </c>
      <c r="O35" s="7">
        <v>35916</v>
      </c>
      <c r="P35">
        <v>442</v>
      </c>
      <c r="Q35" s="10">
        <f t="shared" si="3"/>
        <v>16.69945646737137</v>
      </c>
      <c r="R35" s="6">
        <f t="shared" si="4"/>
        <v>1.1976391343492614</v>
      </c>
      <c r="S35" s="6">
        <f t="shared" si="5"/>
        <v>0.97280606717226437</v>
      </c>
      <c r="T35" s="6">
        <f t="shared" si="6"/>
        <v>161.05829596412556</v>
      </c>
      <c r="U35" s="10">
        <f t="shared" si="7"/>
        <v>1.6666666666666667</v>
      </c>
      <c r="V35" s="6"/>
      <c r="W35" s="6"/>
    </row>
    <row r="36" spans="1:23" x14ac:dyDescent="0.25">
      <c r="A36" t="s">
        <v>15</v>
      </c>
      <c r="B36">
        <v>2020</v>
      </c>
      <c r="C36" s="4">
        <f t="shared" si="0"/>
        <v>43831</v>
      </c>
      <c r="D36">
        <v>1</v>
      </c>
      <c r="E36" s="1">
        <v>24971</v>
      </c>
      <c r="F36" s="1">
        <v>19962</v>
      </c>
      <c r="G36" s="1">
        <f t="shared" si="1"/>
        <v>5009</v>
      </c>
      <c r="H36" s="1">
        <v>35064</v>
      </c>
      <c r="I36" s="2">
        <v>0.69740000000000002</v>
      </c>
      <c r="J36" s="1">
        <v>84740</v>
      </c>
      <c r="K36" s="3">
        <v>7.291666666666667E-4</v>
      </c>
      <c r="L36" s="3">
        <f t="shared" si="2"/>
        <v>2.4167237052247321</v>
      </c>
      <c r="M36" s="5">
        <v>0.26</v>
      </c>
      <c r="N36">
        <v>91</v>
      </c>
      <c r="O36" s="7">
        <v>13946</v>
      </c>
      <c r="P36">
        <v>122</v>
      </c>
      <c r="Q36" s="10">
        <f t="shared" si="3"/>
        <v>20.059268751752033</v>
      </c>
      <c r="R36" s="6">
        <f t="shared" si="4"/>
        <v>0.55848784590124545</v>
      </c>
      <c r="S36" s="6">
        <f t="shared" si="5"/>
        <v>0.39772986538900296</v>
      </c>
      <c r="T36" s="6">
        <f t="shared" si="6"/>
        <v>153.25274725274724</v>
      </c>
      <c r="U36" s="10">
        <f t="shared" si="7"/>
        <v>3.8461538461538458</v>
      </c>
      <c r="V36" s="6"/>
      <c r="W36" s="6"/>
    </row>
    <row r="37" spans="1:23" x14ac:dyDescent="0.25">
      <c r="A37" t="s">
        <v>17</v>
      </c>
      <c r="B37">
        <v>2020</v>
      </c>
      <c r="C37" s="4">
        <f t="shared" si="0"/>
        <v>43891</v>
      </c>
      <c r="D37">
        <v>3</v>
      </c>
      <c r="E37" s="1">
        <v>17879</v>
      </c>
      <c r="F37" s="1">
        <v>3588</v>
      </c>
      <c r="G37" s="1">
        <f t="shared" si="1"/>
        <v>14291</v>
      </c>
      <c r="H37" s="1">
        <v>33009</v>
      </c>
      <c r="I37" s="2">
        <v>0.59260000000000002</v>
      </c>
      <c r="J37" s="1">
        <v>93181</v>
      </c>
      <c r="K37" s="3">
        <v>1.2847222222222223E-3</v>
      </c>
      <c r="L37" s="3">
        <f t="shared" si="2"/>
        <v>2.8228967857251055</v>
      </c>
      <c r="M37" s="5">
        <v>0.56000000000000005</v>
      </c>
      <c r="N37">
        <v>185</v>
      </c>
      <c r="O37" s="7">
        <v>28137</v>
      </c>
      <c r="P37">
        <v>318</v>
      </c>
      <c r="Q37" s="10">
        <f t="shared" si="3"/>
        <v>79.931763521449753</v>
      </c>
      <c r="R37" s="6">
        <f t="shared" si="4"/>
        <v>1.5737457352200905</v>
      </c>
      <c r="S37" s="6">
        <f t="shared" si="5"/>
        <v>0.85240388984822324</v>
      </c>
      <c r="T37" s="6">
        <f t="shared" si="6"/>
        <v>152.09189189189189</v>
      </c>
      <c r="U37" s="10">
        <f t="shared" si="7"/>
        <v>1.7857142857142856</v>
      </c>
      <c r="V37" s="6"/>
      <c r="W37" s="6"/>
    </row>
    <row r="38" spans="1:23" x14ac:dyDescent="0.25">
      <c r="A38" t="s">
        <v>19</v>
      </c>
      <c r="B38">
        <v>2020</v>
      </c>
      <c r="C38" s="4">
        <f t="shared" si="0"/>
        <v>43952</v>
      </c>
      <c r="D38">
        <v>5</v>
      </c>
      <c r="E38" s="1">
        <v>19478</v>
      </c>
      <c r="F38" s="1">
        <v>2467</v>
      </c>
      <c r="G38" s="1">
        <f t="shared" si="1"/>
        <v>17011</v>
      </c>
      <c r="H38" s="1">
        <v>31066</v>
      </c>
      <c r="I38" s="2">
        <v>0.57089999999999996</v>
      </c>
      <c r="J38" s="1">
        <v>89816</v>
      </c>
      <c r="K38" s="3">
        <v>1.2268518518518518E-3</v>
      </c>
      <c r="L38" s="3">
        <f t="shared" si="2"/>
        <v>2.8911350028970579</v>
      </c>
      <c r="M38" s="5">
        <v>0.6</v>
      </c>
      <c r="N38">
        <v>185</v>
      </c>
      <c r="O38" s="7">
        <v>26227</v>
      </c>
      <c r="P38">
        <v>319</v>
      </c>
      <c r="Q38" s="10">
        <f t="shared" si="3"/>
        <v>87.334428586097133</v>
      </c>
      <c r="R38" s="6">
        <f t="shared" si="4"/>
        <v>1.3464934798233905</v>
      </c>
      <c r="S38" s="6">
        <f t="shared" si="5"/>
        <v>0.84423485482521088</v>
      </c>
      <c r="T38" s="6">
        <f t="shared" si="6"/>
        <v>141.76756756756757</v>
      </c>
      <c r="U38" s="10">
        <f t="shared" si="7"/>
        <v>1.6666666666666667</v>
      </c>
      <c r="V38" s="6"/>
      <c r="W38" s="6"/>
    </row>
    <row r="39" spans="1:23" x14ac:dyDescent="0.25">
      <c r="A39" t="s">
        <v>17</v>
      </c>
      <c r="B39">
        <v>2020</v>
      </c>
      <c r="C39" s="4">
        <f t="shared" si="0"/>
        <v>43922</v>
      </c>
      <c r="D39">
        <v>4</v>
      </c>
      <c r="E39" s="1">
        <v>17620</v>
      </c>
      <c r="F39" s="1">
        <v>3586</v>
      </c>
      <c r="G39" s="1">
        <f t="shared" si="1"/>
        <v>14034</v>
      </c>
      <c r="H39" s="1">
        <v>30386</v>
      </c>
      <c r="I39" s="2">
        <v>0.53269999999999995</v>
      </c>
      <c r="J39" s="1">
        <v>100807</v>
      </c>
      <c r="K39" s="3">
        <v>1.3888888888888889E-3</v>
      </c>
      <c r="L39" s="3">
        <f t="shared" si="2"/>
        <v>3.3175475547949715</v>
      </c>
      <c r="M39" s="5">
        <v>0.62</v>
      </c>
      <c r="N39">
        <v>188</v>
      </c>
      <c r="O39" s="7">
        <v>26814</v>
      </c>
      <c r="P39">
        <v>315</v>
      </c>
      <c r="Q39" s="10">
        <f t="shared" si="3"/>
        <v>79.64812712826334</v>
      </c>
      <c r="R39" s="6">
        <f t="shared" si="4"/>
        <v>1.5217934165720772</v>
      </c>
      <c r="S39" s="6">
        <f t="shared" si="5"/>
        <v>0.88244586322648588</v>
      </c>
      <c r="T39" s="6">
        <f t="shared" si="6"/>
        <v>142.62765957446808</v>
      </c>
      <c r="U39" s="10">
        <f t="shared" si="7"/>
        <v>1.6129032258064517</v>
      </c>
      <c r="V39" s="6"/>
      <c r="W39" s="6"/>
    </row>
    <row r="40" spans="1:23" x14ac:dyDescent="0.25">
      <c r="A40" t="s">
        <v>15</v>
      </c>
      <c r="B40">
        <v>2020</v>
      </c>
      <c r="C40" s="4">
        <f t="shared" si="0"/>
        <v>43862</v>
      </c>
      <c r="D40">
        <v>2</v>
      </c>
      <c r="E40" s="1">
        <v>18990</v>
      </c>
      <c r="F40" s="1">
        <v>14703</v>
      </c>
      <c r="G40" s="1">
        <f t="shared" si="1"/>
        <v>4287</v>
      </c>
      <c r="H40" s="1">
        <v>28625</v>
      </c>
      <c r="I40" s="2">
        <v>0.61560000000000004</v>
      </c>
      <c r="J40" s="1">
        <v>75117</v>
      </c>
      <c r="K40" s="3">
        <v>9.2592592592592596E-4</v>
      </c>
      <c r="L40" s="3">
        <f t="shared" si="2"/>
        <v>2.6241746724890831</v>
      </c>
      <c r="M40" s="5">
        <v>0.45</v>
      </c>
      <c r="N40">
        <v>128</v>
      </c>
      <c r="O40" s="7">
        <v>17581</v>
      </c>
      <c r="P40">
        <v>173</v>
      </c>
      <c r="Q40" s="10">
        <f t="shared" si="3"/>
        <v>22.575039494470776</v>
      </c>
      <c r="R40" s="6">
        <f t="shared" si="4"/>
        <v>0.92580305423907316</v>
      </c>
      <c r="S40" s="6">
        <f t="shared" si="5"/>
        <v>0.61418340611353717</v>
      </c>
      <c r="T40" s="6">
        <f t="shared" si="6"/>
        <v>137.3515625</v>
      </c>
      <c r="U40" s="10">
        <f t="shared" si="7"/>
        <v>2.2222222222222223</v>
      </c>
      <c r="V40" s="6"/>
      <c r="W40" s="6"/>
    </row>
    <row r="41" spans="1:23" x14ac:dyDescent="0.25">
      <c r="A41" t="s">
        <v>19</v>
      </c>
      <c r="B41">
        <v>2020</v>
      </c>
      <c r="C41" s="4">
        <f t="shared" si="0"/>
        <v>43983</v>
      </c>
      <c r="D41">
        <v>6</v>
      </c>
      <c r="E41" s="1">
        <v>16773</v>
      </c>
      <c r="F41" s="1">
        <v>2491</v>
      </c>
      <c r="G41" s="1">
        <f t="shared" si="1"/>
        <v>14282</v>
      </c>
      <c r="H41" s="1">
        <v>27754</v>
      </c>
      <c r="I41" s="2">
        <v>0.5615</v>
      </c>
      <c r="J41" s="1">
        <v>80190</v>
      </c>
      <c r="K41" s="3">
        <v>1.2037037037037038E-3</v>
      </c>
      <c r="L41" s="3">
        <f t="shared" si="2"/>
        <v>2.8893132521438352</v>
      </c>
      <c r="M41" s="5">
        <v>0.73</v>
      </c>
      <c r="N41">
        <v>203</v>
      </c>
      <c r="O41" s="7">
        <v>27902</v>
      </c>
      <c r="P41">
        <v>316</v>
      </c>
      <c r="Q41" s="10">
        <f t="shared" si="3"/>
        <v>85.148750968818931</v>
      </c>
      <c r="R41" s="6">
        <f t="shared" si="4"/>
        <v>1.6635068264472666</v>
      </c>
      <c r="S41" s="6">
        <f t="shared" si="5"/>
        <v>1.0053325646753621</v>
      </c>
      <c r="T41" s="6">
        <f t="shared" si="6"/>
        <v>137.44827586206895</v>
      </c>
      <c r="U41" s="10">
        <f t="shared" si="7"/>
        <v>1.3698630136986301</v>
      </c>
      <c r="V41" s="6"/>
      <c r="W41" s="6"/>
    </row>
    <row r="42" spans="1:23" x14ac:dyDescent="0.25">
      <c r="A42" t="s">
        <v>20</v>
      </c>
      <c r="B42">
        <v>2019</v>
      </c>
      <c r="C42" s="4">
        <f t="shared" si="0"/>
        <v>43709</v>
      </c>
      <c r="D42">
        <v>9</v>
      </c>
      <c r="E42" s="1">
        <v>19078</v>
      </c>
      <c r="F42" s="1">
        <v>15188</v>
      </c>
      <c r="G42" s="1">
        <f t="shared" si="1"/>
        <v>3890</v>
      </c>
      <c r="H42" s="1">
        <v>26330</v>
      </c>
      <c r="I42" s="2">
        <v>0.62390000000000001</v>
      </c>
      <c r="J42" s="1">
        <v>66331</v>
      </c>
      <c r="K42" s="3">
        <v>1.0532407407407407E-3</v>
      </c>
      <c r="L42" s="3">
        <f t="shared" si="2"/>
        <v>2.5192176224838585</v>
      </c>
      <c r="M42" s="5">
        <v>0.11</v>
      </c>
      <c r="N42">
        <v>28</v>
      </c>
      <c r="O42" s="7">
        <v>4005</v>
      </c>
      <c r="P42">
        <v>36</v>
      </c>
      <c r="Q42" s="10">
        <f t="shared" si="3"/>
        <v>20.389977985113745</v>
      </c>
      <c r="R42" s="6">
        <f t="shared" si="4"/>
        <v>0.20992766537372889</v>
      </c>
      <c r="S42" s="6">
        <f t="shared" si="5"/>
        <v>0.15210786175465249</v>
      </c>
      <c r="T42" s="6">
        <f t="shared" si="6"/>
        <v>143.03571428571428</v>
      </c>
      <c r="U42" s="10">
        <f t="shared" si="7"/>
        <v>9.0909090909090917</v>
      </c>
      <c r="V42" s="6"/>
      <c r="W42" s="6"/>
    </row>
    <row r="43" spans="1:23" x14ac:dyDescent="0.25">
      <c r="A43" t="s">
        <v>20</v>
      </c>
      <c r="B43">
        <v>2019</v>
      </c>
      <c r="C43" s="4">
        <f t="shared" si="0"/>
        <v>43739</v>
      </c>
      <c r="D43">
        <v>10</v>
      </c>
      <c r="E43" s="1">
        <v>19263</v>
      </c>
      <c r="F43" s="1">
        <v>15538</v>
      </c>
      <c r="G43" s="1">
        <f t="shared" si="1"/>
        <v>3725</v>
      </c>
      <c r="H43" s="1">
        <v>26057</v>
      </c>
      <c r="I43" s="2">
        <v>0.39860000000000001</v>
      </c>
      <c r="J43" s="1">
        <v>64175</v>
      </c>
      <c r="K43" s="3">
        <v>1.0416666666666667E-3</v>
      </c>
      <c r="L43" s="3">
        <f t="shared" si="2"/>
        <v>2.4628698622251219</v>
      </c>
      <c r="M43" s="5">
        <v>7.0000000000000007E-2</v>
      </c>
      <c r="N43">
        <v>18</v>
      </c>
      <c r="O43" s="7">
        <v>3076</v>
      </c>
      <c r="P43">
        <v>22</v>
      </c>
      <c r="Q43" s="10">
        <f t="shared" si="3"/>
        <v>19.337590198826764</v>
      </c>
      <c r="R43" s="6">
        <f t="shared" si="4"/>
        <v>0.15968436899756008</v>
      </c>
      <c r="S43" s="6">
        <f t="shared" si="5"/>
        <v>0.11804889281191235</v>
      </c>
      <c r="T43" s="6">
        <f t="shared" si="6"/>
        <v>170.88888888888889</v>
      </c>
      <c r="U43" s="10">
        <f t="shared" si="7"/>
        <v>14.285714285714285</v>
      </c>
      <c r="V43" s="6"/>
      <c r="W43" s="6"/>
    </row>
    <row r="44" spans="1:23" x14ac:dyDescent="0.25">
      <c r="A44" t="s">
        <v>17</v>
      </c>
      <c r="B44">
        <v>2020</v>
      </c>
      <c r="C44" s="4">
        <f t="shared" si="0"/>
        <v>43831</v>
      </c>
      <c r="D44">
        <v>1</v>
      </c>
      <c r="E44" s="1">
        <v>14803</v>
      </c>
      <c r="F44" s="1">
        <v>1386</v>
      </c>
      <c r="G44" s="1">
        <f t="shared" si="1"/>
        <v>13417</v>
      </c>
      <c r="H44" s="1">
        <v>25031</v>
      </c>
      <c r="I44" s="2">
        <v>0.63549999999999995</v>
      </c>
      <c r="J44" s="1">
        <v>66722</v>
      </c>
      <c r="K44" s="3">
        <v>1.1805555555555556E-3</v>
      </c>
      <c r="L44" s="3">
        <f t="shared" si="2"/>
        <v>2.6655746873876391</v>
      </c>
      <c r="M44" s="5">
        <v>0.34</v>
      </c>
      <c r="N44">
        <v>84</v>
      </c>
      <c r="O44" s="7">
        <v>15552</v>
      </c>
      <c r="P44">
        <v>116</v>
      </c>
      <c r="Q44" s="10">
        <f t="shared" si="3"/>
        <v>90.637033033844489</v>
      </c>
      <c r="R44" s="6">
        <f t="shared" si="4"/>
        <v>1.0505978517868</v>
      </c>
      <c r="S44" s="6">
        <f t="shared" si="5"/>
        <v>0.62130957612560422</v>
      </c>
      <c r="T44" s="6">
        <f t="shared" si="6"/>
        <v>185.14285714285714</v>
      </c>
      <c r="U44" s="10">
        <f t="shared" si="7"/>
        <v>2.9411764705882351</v>
      </c>
      <c r="V44" s="6"/>
      <c r="W44" s="6"/>
    </row>
    <row r="45" spans="1:23" x14ac:dyDescent="0.25">
      <c r="A45" t="s">
        <v>21</v>
      </c>
      <c r="B45">
        <v>2019</v>
      </c>
      <c r="C45" s="4">
        <f t="shared" si="0"/>
        <v>43739</v>
      </c>
      <c r="D45">
        <v>10</v>
      </c>
      <c r="E45" s="1">
        <v>13150</v>
      </c>
      <c r="F45" s="1">
        <v>9316</v>
      </c>
      <c r="G45" s="1">
        <f t="shared" si="1"/>
        <v>3834</v>
      </c>
      <c r="H45" s="1">
        <v>24291</v>
      </c>
      <c r="I45" s="2">
        <v>0.27489999999999998</v>
      </c>
      <c r="J45" s="1">
        <v>63230</v>
      </c>
      <c r="K45" s="3">
        <v>9.6064814814814819E-4</v>
      </c>
      <c r="L45" s="3">
        <f t="shared" si="2"/>
        <v>2.6030216952780867</v>
      </c>
      <c r="M45" s="5">
        <v>0.24</v>
      </c>
      <c r="N45">
        <v>59</v>
      </c>
      <c r="O45" s="7">
        <v>8527</v>
      </c>
      <c r="P45">
        <v>84</v>
      </c>
      <c r="Q45" s="10">
        <f t="shared" si="3"/>
        <v>29.155893536121674</v>
      </c>
      <c r="R45" s="6">
        <f t="shared" si="4"/>
        <v>0.64844106463878326</v>
      </c>
      <c r="S45" s="6">
        <f t="shared" si="5"/>
        <v>0.35103536289160592</v>
      </c>
      <c r="T45" s="6">
        <f t="shared" si="6"/>
        <v>144.52542372881356</v>
      </c>
      <c r="U45" s="10">
        <f t="shared" si="7"/>
        <v>4.166666666666667</v>
      </c>
      <c r="V45" s="6"/>
      <c r="W45" s="6"/>
    </row>
    <row r="46" spans="1:23" x14ac:dyDescent="0.25">
      <c r="A46" t="s">
        <v>20</v>
      </c>
      <c r="B46">
        <v>2019</v>
      </c>
      <c r="C46" s="4">
        <f t="shared" si="0"/>
        <v>43770</v>
      </c>
      <c r="D46">
        <v>11</v>
      </c>
      <c r="E46" s="1">
        <v>16826</v>
      </c>
      <c r="F46" s="1">
        <v>13098</v>
      </c>
      <c r="G46" s="1">
        <f t="shared" si="1"/>
        <v>3728</v>
      </c>
      <c r="H46" s="1">
        <v>23791</v>
      </c>
      <c r="I46" s="2">
        <v>0.66310000000000002</v>
      </c>
      <c r="J46" s="1">
        <v>55191</v>
      </c>
      <c r="K46" s="3">
        <v>9.4907407407407408E-4</v>
      </c>
      <c r="L46" s="3">
        <f t="shared" si="2"/>
        <v>2.3198268252700602</v>
      </c>
      <c r="M46" s="5">
        <v>0.08</v>
      </c>
      <c r="N46">
        <v>18</v>
      </c>
      <c r="O46" s="7">
        <v>3036</v>
      </c>
      <c r="P46">
        <v>29</v>
      </c>
      <c r="Q46" s="10">
        <f t="shared" si="3"/>
        <v>22.156186853678829</v>
      </c>
      <c r="R46" s="6">
        <f t="shared" si="4"/>
        <v>0.18043504100796387</v>
      </c>
      <c r="S46" s="6">
        <f t="shared" si="5"/>
        <v>0.12761128157706697</v>
      </c>
      <c r="T46" s="6">
        <f t="shared" si="6"/>
        <v>168.66666666666666</v>
      </c>
      <c r="U46" s="10">
        <f t="shared" si="7"/>
        <v>12.5</v>
      </c>
      <c r="V46" s="6"/>
      <c r="W46" s="6"/>
    </row>
    <row r="47" spans="1:23" x14ac:dyDescent="0.25">
      <c r="A47" t="s">
        <v>20</v>
      </c>
      <c r="B47">
        <v>2019</v>
      </c>
      <c r="C47" s="4">
        <f t="shared" si="0"/>
        <v>43800</v>
      </c>
      <c r="D47">
        <v>12</v>
      </c>
      <c r="E47" s="1">
        <v>16312</v>
      </c>
      <c r="F47" s="1">
        <v>13243</v>
      </c>
      <c r="G47" s="1">
        <f t="shared" si="1"/>
        <v>3069</v>
      </c>
      <c r="H47" s="1">
        <v>21409</v>
      </c>
      <c r="I47" s="2">
        <v>0.59830000000000005</v>
      </c>
      <c r="J47" s="1">
        <v>50408</v>
      </c>
      <c r="K47" s="3">
        <v>9.9537037037037042E-4</v>
      </c>
      <c r="L47" s="3">
        <f t="shared" si="2"/>
        <v>2.3545237984025409</v>
      </c>
      <c r="M47" s="5">
        <v>0.11</v>
      </c>
      <c r="N47">
        <v>24</v>
      </c>
      <c r="O47" s="7">
        <v>4950</v>
      </c>
      <c r="P47">
        <v>37</v>
      </c>
      <c r="Q47" s="10">
        <f t="shared" si="3"/>
        <v>18.814369789112309</v>
      </c>
      <c r="R47" s="6">
        <f t="shared" si="4"/>
        <v>0.30345757724374695</v>
      </c>
      <c r="S47" s="6">
        <f t="shared" si="5"/>
        <v>0.23121117287122239</v>
      </c>
      <c r="T47" s="6">
        <f t="shared" si="6"/>
        <v>206.25</v>
      </c>
      <c r="U47" s="10">
        <f t="shared" si="7"/>
        <v>9.0909090909090917</v>
      </c>
      <c r="V47" s="6"/>
      <c r="W47" s="6"/>
    </row>
    <row r="48" spans="1:23" x14ac:dyDescent="0.25">
      <c r="A48" t="s">
        <v>21</v>
      </c>
      <c r="B48">
        <v>2019</v>
      </c>
      <c r="C48" s="4">
        <f t="shared" si="0"/>
        <v>43770</v>
      </c>
      <c r="D48">
        <v>11</v>
      </c>
      <c r="E48" s="1">
        <v>11522</v>
      </c>
      <c r="F48" s="1">
        <v>7923</v>
      </c>
      <c r="G48" s="1">
        <f t="shared" si="1"/>
        <v>3599</v>
      </c>
      <c r="H48" s="1">
        <v>21191</v>
      </c>
      <c r="I48" s="2">
        <v>0.55920000000000003</v>
      </c>
      <c r="J48" s="1">
        <v>59438</v>
      </c>
      <c r="K48" s="3">
        <v>9.7222222222222219E-4</v>
      </c>
      <c r="L48" s="3">
        <f t="shared" si="2"/>
        <v>2.8048699919777262</v>
      </c>
      <c r="M48" s="5">
        <v>0.23</v>
      </c>
      <c r="N48">
        <v>49</v>
      </c>
      <c r="O48" s="7">
        <v>8708</v>
      </c>
      <c r="P48">
        <v>60</v>
      </c>
      <c r="Q48" s="10">
        <f t="shared" si="3"/>
        <v>31.235896545738591</v>
      </c>
      <c r="R48" s="6">
        <f t="shared" si="4"/>
        <v>0.75577156743620899</v>
      </c>
      <c r="S48" s="6">
        <f t="shared" si="5"/>
        <v>0.41092916804303714</v>
      </c>
      <c r="T48" s="6">
        <f t="shared" si="6"/>
        <v>177.71428571428572</v>
      </c>
      <c r="U48" s="10">
        <f t="shared" si="7"/>
        <v>4.3478260869565215</v>
      </c>
      <c r="V48" s="6"/>
      <c r="W48" s="6"/>
    </row>
    <row r="49" spans="1:23" x14ac:dyDescent="0.25">
      <c r="A49" t="s">
        <v>19</v>
      </c>
      <c r="B49">
        <v>2020</v>
      </c>
      <c r="C49" s="4">
        <f t="shared" si="0"/>
        <v>44013</v>
      </c>
      <c r="D49">
        <v>7</v>
      </c>
      <c r="E49" s="1">
        <v>10277</v>
      </c>
      <c r="F49" s="1">
        <v>1708</v>
      </c>
      <c r="G49" s="1">
        <f t="shared" si="1"/>
        <v>8569</v>
      </c>
      <c r="H49" s="1">
        <v>17149</v>
      </c>
      <c r="I49" s="2">
        <v>0.55920000000000003</v>
      </c>
      <c r="J49" s="1">
        <v>49644</v>
      </c>
      <c r="K49" s="3">
        <v>1.2268518518518518E-3</v>
      </c>
      <c r="L49" s="3">
        <f t="shared" si="2"/>
        <v>2.8948626742084085</v>
      </c>
      <c r="M49" s="5">
        <v>0.84</v>
      </c>
      <c r="N49">
        <v>144</v>
      </c>
      <c r="O49" s="7">
        <v>18304</v>
      </c>
      <c r="P49">
        <v>237</v>
      </c>
      <c r="Q49" s="10">
        <f t="shared" si="3"/>
        <v>83.380363919431744</v>
      </c>
      <c r="R49" s="6">
        <f t="shared" si="4"/>
        <v>1.7810645129901723</v>
      </c>
      <c r="S49" s="6">
        <f t="shared" si="5"/>
        <v>1.0673508659397049</v>
      </c>
      <c r="T49" s="6">
        <f t="shared" si="6"/>
        <v>127.11111111111111</v>
      </c>
      <c r="U49" s="10">
        <f t="shared" si="7"/>
        <v>1.1904761904761905</v>
      </c>
      <c r="V49" s="6"/>
      <c r="W49" s="6"/>
    </row>
    <row r="50" spans="1:23" x14ac:dyDescent="0.25">
      <c r="A50" t="s">
        <v>21</v>
      </c>
      <c r="B50">
        <v>2019</v>
      </c>
      <c r="C50" s="4">
        <f t="shared" si="0"/>
        <v>43709</v>
      </c>
      <c r="D50">
        <v>9</v>
      </c>
      <c r="E50" s="1">
        <v>8772</v>
      </c>
      <c r="F50" s="1">
        <v>5675</v>
      </c>
      <c r="G50" s="1">
        <f t="shared" si="1"/>
        <v>3097</v>
      </c>
      <c r="H50" s="1">
        <v>16799</v>
      </c>
      <c r="I50" s="2">
        <v>0.57709999999999995</v>
      </c>
      <c r="J50" s="1">
        <v>46301</v>
      </c>
      <c r="K50" s="3">
        <v>9.1435185185185185E-4</v>
      </c>
      <c r="L50" s="3">
        <f t="shared" si="2"/>
        <v>2.756175962854932</v>
      </c>
      <c r="M50" s="5">
        <v>0.25</v>
      </c>
      <c r="N50">
        <v>42</v>
      </c>
      <c r="O50" s="7">
        <v>5084</v>
      </c>
      <c r="P50">
        <v>56</v>
      </c>
      <c r="Q50" s="10">
        <f t="shared" si="3"/>
        <v>35.305517555859552</v>
      </c>
      <c r="R50" s="6">
        <f t="shared" si="4"/>
        <v>0.57957136342909255</v>
      </c>
      <c r="S50" s="6">
        <f t="shared" si="5"/>
        <v>0.30263706172986488</v>
      </c>
      <c r="T50" s="6">
        <f t="shared" si="6"/>
        <v>121.04761904761905</v>
      </c>
      <c r="U50" s="10">
        <f t="shared" si="7"/>
        <v>4</v>
      </c>
      <c r="V50" s="6"/>
      <c r="W50" s="6"/>
    </row>
    <row r="51" spans="1:23" x14ac:dyDescent="0.25">
      <c r="A51" t="s">
        <v>18</v>
      </c>
      <c r="B51">
        <v>2020</v>
      </c>
      <c r="C51" s="4">
        <f t="shared" si="0"/>
        <v>43952</v>
      </c>
      <c r="D51">
        <v>5</v>
      </c>
      <c r="E51" s="1">
        <v>12284</v>
      </c>
      <c r="F51" s="1">
        <v>11569</v>
      </c>
      <c r="G51" s="1">
        <f t="shared" si="1"/>
        <v>715</v>
      </c>
      <c r="H51" s="1">
        <v>16326</v>
      </c>
      <c r="I51" s="2">
        <v>0.55569999999999997</v>
      </c>
      <c r="J51" s="1">
        <v>55340</v>
      </c>
      <c r="K51" s="3">
        <v>1.712962962962963E-3</v>
      </c>
      <c r="L51" s="3">
        <f t="shared" si="2"/>
        <v>3.389685164767855</v>
      </c>
      <c r="M51" s="5">
        <v>0.69</v>
      </c>
      <c r="N51">
        <v>113</v>
      </c>
      <c r="O51" s="7">
        <v>17267</v>
      </c>
      <c r="P51">
        <v>216</v>
      </c>
      <c r="Q51" s="10">
        <f t="shared" si="3"/>
        <v>5.8205796157603382</v>
      </c>
      <c r="R51" s="6">
        <f t="shared" si="4"/>
        <v>1.4056496255291435</v>
      </c>
      <c r="S51" s="6">
        <f t="shared" si="5"/>
        <v>1.0576381232390053</v>
      </c>
      <c r="T51" s="6">
        <f t="shared" si="6"/>
        <v>152.80530973451329</v>
      </c>
      <c r="U51" s="10">
        <f t="shared" si="7"/>
        <v>1.4492753623188408</v>
      </c>
      <c r="V51" s="6"/>
      <c r="W51" s="6"/>
    </row>
    <row r="52" spans="1:23" x14ac:dyDescent="0.25">
      <c r="A52" t="s">
        <v>18</v>
      </c>
      <c r="B52">
        <v>2020</v>
      </c>
      <c r="C52" s="4">
        <f t="shared" si="0"/>
        <v>43983</v>
      </c>
      <c r="D52">
        <v>6</v>
      </c>
      <c r="E52" s="1">
        <v>12324</v>
      </c>
      <c r="F52" s="1">
        <v>11664</v>
      </c>
      <c r="G52" s="1">
        <f t="shared" si="1"/>
        <v>660</v>
      </c>
      <c r="H52" s="1">
        <v>16149</v>
      </c>
      <c r="I52" s="2">
        <v>0.5948</v>
      </c>
      <c r="J52" s="1">
        <v>48908</v>
      </c>
      <c r="K52" s="3">
        <v>1.2847222222222223E-3</v>
      </c>
      <c r="L52" s="3">
        <f t="shared" si="2"/>
        <v>3.0285466592358659</v>
      </c>
      <c r="M52" s="5">
        <v>0.55000000000000004</v>
      </c>
      <c r="N52">
        <v>89</v>
      </c>
      <c r="O52" s="7">
        <v>13951</v>
      </c>
      <c r="P52">
        <v>182</v>
      </c>
      <c r="Q52" s="10">
        <f t="shared" si="3"/>
        <v>5.3554040895813042</v>
      </c>
      <c r="R52" s="6">
        <f t="shared" si="4"/>
        <v>1.1320188250567997</v>
      </c>
      <c r="S52" s="6">
        <f t="shared" si="5"/>
        <v>0.86389250108365845</v>
      </c>
      <c r="T52" s="6">
        <f t="shared" si="6"/>
        <v>156.75280898876406</v>
      </c>
      <c r="U52" s="10">
        <f t="shared" si="7"/>
        <v>1.8181818181818181</v>
      </c>
      <c r="V52" s="6"/>
      <c r="W52" s="6"/>
    </row>
    <row r="53" spans="1:23" x14ac:dyDescent="0.25">
      <c r="A53" t="s">
        <v>21</v>
      </c>
      <c r="B53">
        <v>2019</v>
      </c>
      <c r="C53" s="4">
        <f t="shared" si="0"/>
        <v>43800</v>
      </c>
      <c r="D53">
        <v>12</v>
      </c>
      <c r="E53" s="1">
        <v>10275</v>
      </c>
      <c r="F53" s="1">
        <v>7523</v>
      </c>
      <c r="G53" s="1">
        <f t="shared" si="1"/>
        <v>2752</v>
      </c>
      <c r="H53" s="1">
        <v>15686</v>
      </c>
      <c r="I53" s="2">
        <v>0.5454</v>
      </c>
      <c r="J53" s="1">
        <v>44207</v>
      </c>
      <c r="K53" s="3">
        <v>9.3749999999999997E-4</v>
      </c>
      <c r="L53" s="3">
        <f t="shared" si="2"/>
        <v>2.8182455692974626</v>
      </c>
      <c r="M53" s="5">
        <v>0.31</v>
      </c>
      <c r="N53">
        <v>49</v>
      </c>
      <c r="O53" s="7">
        <v>7434</v>
      </c>
      <c r="P53">
        <v>68</v>
      </c>
      <c r="Q53" s="10">
        <f t="shared" si="3"/>
        <v>26.783454987834549</v>
      </c>
      <c r="R53" s="6">
        <f t="shared" si="4"/>
        <v>0.72350364963503655</v>
      </c>
      <c r="S53" s="6">
        <f t="shared" si="5"/>
        <v>0.47392579370138976</v>
      </c>
      <c r="T53" s="6">
        <f t="shared" si="6"/>
        <v>151.71428571428572</v>
      </c>
      <c r="U53" s="10">
        <f t="shared" si="7"/>
        <v>3.2258064516129035</v>
      </c>
      <c r="V53" s="6"/>
      <c r="W53" s="6"/>
    </row>
    <row r="54" spans="1:23" x14ac:dyDescent="0.25">
      <c r="A54" t="s">
        <v>15</v>
      </c>
      <c r="B54">
        <v>2020</v>
      </c>
      <c r="C54" s="4">
        <f t="shared" si="0"/>
        <v>44044</v>
      </c>
      <c r="D54">
        <v>8</v>
      </c>
      <c r="E54" s="1">
        <v>11946</v>
      </c>
      <c r="F54" s="1">
        <v>8525</v>
      </c>
      <c r="G54" s="1">
        <f t="shared" si="1"/>
        <v>3421</v>
      </c>
      <c r="H54" s="1">
        <v>15172</v>
      </c>
      <c r="I54" s="2">
        <v>0.54730000000000001</v>
      </c>
      <c r="J54" s="1">
        <v>44710</v>
      </c>
      <c r="K54" s="3">
        <v>1.0300925925925926E-3</v>
      </c>
      <c r="L54" s="3">
        <f t="shared" si="2"/>
        <v>2.9468758238861059</v>
      </c>
      <c r="M54" s="5">
        <v>0.45</v>
      </c>
      <c r="N54">
        <v>68</v>
      </c>
      <c r="O54" s="7">
        <v>7729</v>
      </c>
      <c r="P54">
        <v>132</v>
      </c>
      <c r="Q54" s="10">
        <f t="shared" si="3"/>
        <v>28.63720073664825</v>
      </c>
      <c r="R54" s="6">
        <f t="shared" si="4"/>
        <v>0.64699480997823544</v>
      </c>
      <c r="S54" s="6">
        <f t="shared" si="5"/>
        <v>0.50942525705246511</v>
      </c>
      <c r="T54" s="6">
        <f t="shared" si="6"/>
        <v>113.66176470588235</v>
      </c>
      <c r="U54" s="10">
        <f t="shared" si="7"/>
        <v>2.2222222222222223</v>
      </c>
      <c r="V54" s="6"/>
      <c r="W54" s="6"/>
    </row>
    <row r="55" spans="1:23" x14ac:dyDescent="0.25">
      <c r="A55" t="s">
        <v>18</v>
      </c>
      <c r="B55">
        <v>2019</v>
      </c>
      <c r="C55" s="4">
        <f t="shared" si="0"/>
        <v>43800</v>
      </c>
      <c r="D55">
        <v>12</v>
      </c>
      <c r="E55" s="1">
        <v>12351</v>
      </c>
      <c r="F55" s="1">
        <v>11794</v>
      </c>
      <c r="G55" s="1">
        <f t="shared" si="1"/>
        <v>557</v>
      </c>
      <c r="H55" s="1">
        <v>14797</v>
      </c>
      <c r="I55" s="2">
        <v>0.54759999999999998</v>
      </c>
      <c r="J55" s="1">
        <v>50265</v>
      </c>
      <c r="K55" s="3">
        <v>1.4814814814814814E-3</v>
      </c>
      <c r="L55" s="3">
        <f t="shared" si="2"/>
        <v>3.3969723592620125</v>
      </c>
      <c r="M55" s="5">
        <v>0.39</v>
      </c>
      <c r="N55">
        <v>58</v>
      </c>
      <c r="O55" s="7">
        <v>12242</v>
      </c>
      <c r="P55">
        <v>72</v>
      </c>
      <c r="Q55" s="10">
        <f t="shared" si="3"/>
        <v>4.5097562950368388</v>
      </c>
      <c r="R55" s="6">
        <f t="shared" si="4"/>
        <v>0.99117480365962274</v>
      </c>
      <c r="S55" s="6">
        <f t="shared" si="5"/>
        <v>0.82732986416165444</v>
      </c>
      <c r="T55" s="6">
        <f t="shared" si="6"/>
        <v>211.06896551724137</v>
      </c>
      <c r="U55" s="10">
        <f t="shared" si="7"/>
        <v>2.5641025641025639</v>
      </c>
      <c r="V55" s="6"/>
      <c r="W55" s="6"/>
    </row>
    <row r="56" spans="1:23" x14ac:dyDescent="0.25">
      <c r="A56" t="s">
        <v>15</v>
      </c>
      <c r="B56">
        <v>2020</v>
      </c>
      <c r="C56" s="4">
        <f t="shared" si="0"/>
        <v>44013</v>
      </c>
      <c r="D56">
        <v>7</v>
      </c>
      <c r="E56" s="1">
        <v>9930</v>
      </c>
      <c r="F56" s="1">
        <v>6789</v>
      </c>
      <c r="G56" s="1">
        <f t="shared" si="1"/>
        <v>3141</v>
      </c>
      <c r="H56" s="1">
        <v>13141</v>
      </c>
      <c r="I56" s="2">
        <v>0.5242</v>
      </c>
      <c r="J56" s="1">
        <v>42336</v>
      </c>
      <c r="K56" s="3">
        <v>1.1689814814814816E-3</v>
      </c>
      <c r="L56" s="3">
        <f t="shared" si="2"/>
        <v>3.2216726276539078</v>
      </c>
      <c r="M56" s="5">
        <v>0.43</v>
      </c>
      <c r="N56">
        <v>56</v>
      </c>
      <c r="O56" s="7">
        <v>6244</v>
      </c>
      <c r="P56">
        <v>129</v>
      </c>
      <c r="Q56" s="10">
        <f t="shared" si="3"/>
        <v>31.631419939577039</v>
      </c>
      <c r="R56" s="6">
        <f t="shared" si="4"/>
        <v>0.62880161127895262</v>
      </c>
      <c r="S56" s="6">
        <f t="shared" si="5"/>
        <v>0.47515409786165436</v>
      </c>
      <c r="T56" s="6">
        <f t="shared" si="6"/>
        <v>111.5</v>
      </c>
      <c r="U56" s="10">
        <f t="shared" si="7"/>
        <v>2.3255813953488373</v>
      </c>
      <c r="V56" s="6"/>
      <c r="W56" s="6"/>
    </row>
    <row r="57" spans="1:23" x14ac:dyDescent="0.25">
      <c r="A57" t="s">
        <v>18</v>
      </c>
      <c r="B57">
        <v>2019</v>
      </c>
      <c r="C57" s="4">
        <f t="shared" si="0"/>
        <v>43739</v>
      </c>
      <c r="D57">
        <v>10</v>
      </c>
      <c r="E57" s="1">
        <v>9099</v>
      </c>
      <c r="F57" s="1">
        <v>8747</v>
      </c>
      <c r="G57" s="1">
        <f t="shared" si="1"/>
        <v>352</v>
      </c>
      <c r="H57" s="1">
        <v>11405</v>
      </c>
      <c r="I57" s="2">
        <v>0.31190000000000001</v>
      </c>
      <c r="J57" s="1">
        <v>31980</v>
      </c>
      <c r="K57" s="3">
        <v>1.712962962962963E-3</v>
      </c>
      <c r="L57" s="3">
        <f t="shared" si="2"/>
        <v>2.8040333187198598</v>
      </c>
      <c r="M57" s="5">
        <v>0.39</v>
      </c>
      <c r="N57">
        <v>45</v>
      </c>
      <c r="O57" s="7">
        <v>9499</v>
      </c>
      <c r="P57">
        <v>69</v>
      </c>
      <c r="Q57" s="10">
        <f t="shared" si="3"/>
        <v>3.8685569842839871</v>
      </c>
      <c r="R57" s="6">
        <f t="shared" si="4"/>
        <v>1.0439608748214089</v>
      </c>
      <c r="S57" s="6">
        <f t="shared" si="5"/>
        <v>0.83288031565103027</v>
      </c>
      <c r="T57" s="6">
        <f t="shared" si="6"/>
        <v>211.0888888888889</v>
      </c>
      <c r="U57" s="10">
        <f t="shared" si="7"/>
        <v>2.5641025641025639</v>
      </c>
      <c r="V57" s="6"/>
      <c r="W57" s="6"/>
    </row>
    <row r="58" spans="1:23" x14ac:dyDescent="0.25">
      <c r="A58" t="s">
        <v>18</v>
      </c>
      <c r="B58">
        <v>2020</v>
      </c>
      <c r="C58" s="4">
        <f t="shared" si="0"/>
        <v>43831</v>
      </c>
      <c r="D58">
        <v>1</v>
      </c>
      <c r="E58" s="1">
        <v>8964</v>
      </c>
      <c r="F58" s="1">
        <v>8481</v>
      </c>
      <c r="G58" s="1">
        <f t="shared" si="1"/>
        <v>483</v>
      </c>
      <c r="H58" s="1">
        <v>11113</v>
      </c>
      <c r="I58" s="2">
        <v>0.60409999999999997</v>
      </c>
      <c r="J58" s="1">
        <v>38427</v>
      </c>
      <c r="K58" s="3">
        <v>1.6203703703703703E-3</v>
      </c>
      <c r="L58" s="3">
        <f t="shared" si="2"/>
        <v>3.4578421668316386</v>
      </c>
      <c r="M58" s="5">
        <v>0.55000000000000004</v>
      </c>
      <c r="N58">
        <v>61</v>
      </c>
      <c r="O58" s="7">
        <v>15567</v>
      </c>
      <c r="P58">
        <v>96</v>
      </c>
      <c r="Q58" s="10">
        <f t="shared" si="3"/>
        <v>5.3882195448460504</v>
      </c>
      <c r="R58" s="6">
        <f t="shared" si="4"/>
        <v>1.7366131191432397</v>
      </c>
      <c r="S58" s="6">
        <f t="shared" si="5"/>
        <v>1.4007918653828848</v>
      </c>
      <c r="T58" s="6">
        <f t="shared" si="6"/>
        <v>255.19672131147541</v>
      </c>
      <c r="U58" s="10">
        <f t="shared" si="7"/>
        <v>1.8181818181818181</v>
      </c>
      <c r="V58" s="6"/>
      <c r="W58" s="6"/>
    </row>
    <row r="59" spans="1:23" x14ac:dyDescent="0.25">
      <c r="A59" t="s">
        <v>19</v>
      </c>
      <c r="B59">
        <v>2020</v>
      </c>
      <c r="C59" s="4">
        <f t="shared" si="0"/>
        <v>44044</v>
      </c>
      <c r="D59">
        <v>8</v>
      </c>
      <c r="E59" s="1">
        <v>6686</v>
      </c>
      <c r="F59" s="1">
        <v>1241</v>
      </c>
      <c r="G59" s="1">
        <f t="shared" si="1"/>
        <v>5445</v>
      </c>
      <c r="H59" s="1">
        <v>11018</v>
      </c>
      <c r="I59" s="2">
        <v>0.55410000000000004</v>
      </c>
      <c r="J59" s="1">
        <v>33737</v>
      </c>
      <c r="K59" s="3">
        <v>1.3194444444444445E-3</v>
      </c>
      <c r="L59" s="3">
        <f t="shared" si="2"/>
        <v>3.0619894717734617</v>
      </c>
      <c r="M59" s="5">
        <v>0.77</v>
      </c>
      <c r="N59">
        <v>85</v>
      </c>
      <c r="O59" s="7">
        <v>12214</v>
      </c>
      <c r="P59">
        <v>170</v>
      </c>
      <c r="Q59" s="10">
        <f t="shared" si="3"/>
        <v>81.438827400538443</v>
      </c>
      <c r="R59" s="6">
        <f t="shared" si="4"/>
        <v>1.8268022734071194</v>
      </c>
      <c r="S59" s="6">
        <f t="shared" si="5"/>
        <v>1.1085496460337629</v>
      </c>
      <c r="T59" s="6">
        <f t="shared" si="6"/>
        <v>143.69411764705882</v>
      </c>
      <c r="U59" s="10">
        <f t="shared" si="7"/>
        <v>1.2987012987012987</v>
      </c>
      <c r="V59" s="6"/>
      <c r="W59" s="6"/>
    </row>
    <row r="60" spans="1:23" x14ac:dyDescent="0.25">
      <c r="A60" t="s">
        <v>18</v>
      </c>
      <c r="B60">
        <v>2020</v>
      </c>
      <c r="C60" s="4">
        <f t="shared" si="0"/>
        <v>43922</v>
      </c>
      <c r="D60">
        <v>4</v>
      </c>
      <c r="E60" s="1">
        <v>8078</v>
      </c>
      <c r="F60" s="1">
        <v>7512</v>
      </c>
      <c r="G60" s="1">
        <f t="shared" si="1"/>
        <v>566</v>
      </c>
      <c r="H60" s="1">
        <v>10890</v>
      </c>
      <c r="I60" s="2">
        <v>0.59389999999999998</v>
      </c>
      <c r="J60" s="1">
        <v>37074</v>
      </c>
      <c r="K60" s="3">
        <v>1.8518518518518519E-3</v>
      </c>
      <c r="L60" s="3">
        <f t="shared" si="2"/>
        <v>3.4044077134986224</v>
      </c>
      <c r="M60" s="5">
        <v>0.56999999999999995</v>
      </c>
      <c r="N60">
        <v>62</v>
      </c>
      <c r="O60" s="7">
        <v>8954</v>
      </c>
      <c r="P60">
        <v>120</v>
      </c>
      <c r="Q60" s="10">
        <f t="shared" si="3"/>
        <v>7.0066848229759842</v>
      </c>
      <c r="R60" s="6">
        <f t="shared" si="4"/>
        <v>1.1084426838326318</v>
      </c>
      <c r="S60" s="6">
        <f t="shared" si="5"/>
        <v>0.82222222222222219</v>
      </c>
      <c r="T60" s="6">
        <f t="shared" si="6"/>
        <v>144.41935483870967</v>
      </c>
      <c r="U60" s="10">
        <f t="shared" si="7"/>
        <v>1.7543859649122808</v>
      </c>
      <c r="V60" s="6"/>
      <c r="W60" s="6"/>
    </row>
    <row r="61" spans="1:23" x14ac:dyDescent="0.25">
      <c r="A61" t="s">
        <v>18</v>
      </c>
      <c r="B61">
        <v>2020</v>
      </c>
      <c r="C61" s="4">
        <f t="shared" si="0"/>
        <v>43862</v>
      </c>
      <c r="D61">
        <v>2</v>
      </c>
      <c r="E61" s="1">
        <v>8055</v>
      </c>
      <c r="F61" s="1">
        <v>7467</v>
      </c>
      <c r="G61" s="1">
        <f t="shared" si="1"/>
        <v>588</v>
      </c>
      <c r="H61" s="1">
        <v>10375</v>
      </c>
      <c r="I61" s="2">
        <v>0.58279999999999998</v>
      </c>
      <c r="J61" s="1">
        <v>35176</v>
      </c>
      <c r="K61" s="3">
        <v>1.6435185185185185E-3</v>
      </c>
      <c r="L61" s="3">
        <f t="shared" si="2"/>
        <v>3.3904578313253011</v>
      </c>
      <c r="M61" s="5">
        <v>0.61</v>
      </c>
      <c r="N61">
        <v>63</v>
      </c>
      <c r="O61" s="7">
        <v>13965</v>
      </c>
      <c r="P61">
        <v>118</v>
      </c>
      <c r="Q61" s="10">
        <f t="shared" si="3"/>
        <v>7.2998137802607079</v>
      </c>
      <c r="R61" s="6">
        <f t="shared" si="4"/>
        <v>1.7337057728119181</v>
      </c>
      <c r="S61" s="6">
        <f t="shared" si="5"/>
        <v>1.3460240963855421</v>
      </c>
      <c r="T61" s="6">
        <f t="shared" si="6"/>
        <v>221.66666666666666</v>
      </c>
      <c r="U61" s="10">
        <f t="shared" si="7"/>
        <v>1.639344262295082</v>
      </c>
      <c r="V61" s="6"/>
      <c r="W61" s="6"/>
    </row>
    <row r="62" spans="1:23" x14ac:dyDescent="0.25">
      <c r="A62" t="s">
        <v>18</v>
      </c>
      <c r="B62">
        <v>2019</v>
      </c>
      <c r="C62" s="4">
        <f t="shared" si="0"/>
        <v>43770</v>
      </c>
      <c r="D62">
        <v>11</v>
      </c>
      <c r="E62" s="1">
        <v>7869</v>
      </c>
      <c r="F62" s="1">
        <v>7463</v>
      </c>
      <c r="G62" s="1">
        <f t="shared" si="1"/>
        <v>406</v>
      </c>
      <c r="H62" s="1">
        <v>10252</v>
      </c>
      <c r="I62" s="2">
        <v>0.5363</v>
      </c>
      <c r="J62" s="1">
        <v>38871</v>
      </c>
      <c r="K62" s="3">
        <v>1.9675925925925924E-3</v>
      </c>
      <c r="L62" s="3">
        <f t="shared" si="2"/>
        <v>3.7915528677331252</v>
      </c>
      <c r="M62" s="5">
        <v>0.49</v>
      </c>
      <c r="N62">
        <v>50</v>
      </c>
      <c r="O62" s="7">
        <v>11723</v>
      </c>
      <c r="P62">
        <v>79</v>
      </c>
      <c r="Q62" s="10">
        <f t="shared" si="3"/>
        <v>5.1594865929597153</v>
      </c>
      <c r="R62" s="6">
        <f t="shared" si="4"/>
        <v>1.4897699834794764</v>
      </c>
      <c r="S62" s="6">
        <f t="shared" si="5"/>
        <v>1.1434841982052282</v>
      </c>
      <c r="T62" s="6">
        <f t="shared" si="6"/>
        <v>234.46</v>
      </c>
      <c r="U62" s="10">
        <f t="shared" si="7"/>
        <v>2.0408163265306123</v>
      </c>
      <c r="V62" s="6"/>
      <c r="W62" s="6"/>
    </row>
    <row r="63" spans="1:23" x14ac:dyDescent="0.25">
      <c r="A63" t="s">
        <v>22</v>
      </c>
      <c r="B63">
        <v>2020</v>
      </c>
      <c r="C63" s="4">
        <f t="shared" si="0"/>
        <v>43952</v>
      </c>
      <c r="D63">
        <v>5</v>
      </c>
      <c r="E63" s="1">
        <v>9414</v>
      </c>
      <c r="F63" s="1">
        <v>8590</v>
      </c>
      <c r="G63" s="1">
        <f t="shared" si="1"/>
        <v>824</v>
      </c>
      <c r="H63" s="1">
        <v>9928</v>
      </c>
      <c r="I63" s="2">
        <v>0.5897</v>
      </c>
      <c r="J63" s="1">
        <v>25042</v>
      </c>
      <c r="K63" s="3">
        <v>8.9120370370370373E-4</v>
      </c>
      <c r="L63" s="3">
        <f t="shared" si="2"/>
        <v>2.5223609991941984</v>
      </c>
      <c r="M63" s="5">
        <v>0.23</v>
      </c>
      <c r="N63">
        <v>23</v>
      </c>
      <c r="O63" s="7">
        <v>3520</v>
      </c>
      <c r="P63">
        <v>38</v>
      </c>
      <c r="Q63" s="10">
        <f t="shared" si="3"/>
        <v>8.7529211812194596</v>
      </c>
      <c r="R63" s="6">
        <f t="shared" si="4"/>
        <v>0.37391119609092838</v>
      </c>
      <c r="S63" s="6">
        <f t="shared" si="5"/>
        <v>0.35455278001611601</v>
      </c>
      <c r="T63" s="6">
        <f t="shared" si="6"/>
        <v>153.04347826086956</v>
      </c>
      <c r="U63" s="10">
        <f t="shared" si="7"/>
        <v>4.3478260869565215</v>
      </c>
      <c r="V63" s="6"/>
      <c r="W63" s="6"/>
    </row>
    <row r="64" spans="1:23" x14ac:dyDescent="0.25">
      <c r="A64" t="s">
        <v>18</v>
      </c>
      <c r="B64">
        <v>2020</v>
      </c>
      <c r="C64" s="4">
        <f t="shared" ref="C64:C127" si="8">DATE(B64,D64,1)</f>
        <v>44044</v>
      </c>
      <c r="D64">
        <v>8</v>
      </c>
      <c r="E64" s="1">
        <v>7737</v>
      </c>
      <c r="F64" s="1">
        <v>7317</v>
      </c>
      <c r="G64" s="1">
        <f t="shared" ref="G64:G127" si="9">E64-F64</f>
        <v>420</v>
      </c>
      <c r="H64" s="1">
        <v>9849</v>
      </c>
      <c r="I64" s="2">
        <v>0.54259999999999997</v>
      </c>
      <c r="J64" s="1">
        <v>31573</v>
      </c>
      <c r="K64" s="3">
        <v>1.3773148148148147E-3</v>
      </c>
      <c r="L64" s="3">
        <f t="shared" ref="L64:L127" si="10">J64/H64</f>
        <v>3.2057061630622399</v>
      </c>
      <c r="M64" s="5">
        <v>0.39</v>
      </c>
      <c r="N64">
        <v>38</v>
      </c>
      <c r="O64" s="7">
        <v>7173</v>
      </c>
      <c r="P64">
        <v>84</v>
      </c>
      <c r="Q64" s="10">
        <f t="shared" ref="Q64:Q127" si="11">(G64/E64)*100</f>
        <v>5.4284606436603333</v>
      </c>
      <c r="R64" s="6">
        <f t="shared" ref="R64:R127" si="12">O64/E64</f>
        <v>0.92710352849941835</v>
      </c>
      <c r="S64" s="6">
        <f t="shared" ref="S64:S127" si="13">O64/H64</f>
        <v>0.72829728906487967</v>
      </c>
      <c r="T64" s="6">
        <f t="shared" ref="T64:T127" si="14">O64/N64</f>
        <v>188.76315789473685</v>
      </c>
      <c r="U64" s="10">
        <f t="shared" ref="U64:U127" si="15">1/M64</f>
        <v>2.5641025641025639</v>
      </c>
      <c r="V64" s="6"/>
      <c r="W64" s="6"/>
    </row>
    <row r="65" spans="1:23" x14ac:dyDescent="0.25">
      <c r="A65" t="s">
        <v>18</v>
      </c>
      <c r="B65">
        <v>2020</v>
      </c>
      <c r="C65" s="4">
        <f t="shared" si="8"/>
        <v>43891</v>
      </c>
      <c r="D65">
        <v>3</v>
      </c>
      <c r="E65" s="1">
        <v>7298</v>
      </c>
      <c r="F65" s="1">
        <v>6694</v>
      </c>
      <c r="G65" s="1">
        <f t="shared" si="9"/>
        <v>604</v>
      </c>
      <c r="H65" s="1">
        <v>9583</v>
      </c>
      <c r="I65" s="2">
        <v>0.60919999999999996</v>
      </c>
      <c r="J65" s="1">
        <v>30567</v>
      </c>
      <c r="K65" s="3">
        <v>1.5625000000000001E-3</v>
      </c>
      <c r="L65" s="3">
        <f t="shared" si="10"/>
        <v>3.1897109464677031</v>
      </c>
      <c r="M65" s="5">
        <v>0.42</v>
      </c>
      <c r="N65">
        <v>40</v>
      </c>
      <c r="O65" s="7">
        <v>7060</v>
      </c>
      <c r="P65">
        <v>82</v>
      </c>
      <c r="Q65" s="10">
        <f t="shared" si="11"/>
        <v>8.276240065771443</v>
      </c>
      <c r="R65" s="6">
        <f t="shared" si="12"/>
        <v>0.96738832556864895</v>
      </c>
      <c r="S65" s="6">
        <f t="shared" si="13"/>
        <v>0.7367212772618178</v>
      </c>
      <c r="T65" s="6">
        <f t="shared" si="14"/>
        <v>176.5</v>
      </c>
      <c r="U65" s="10">
        <f t="shared" si="15"/>
        <v>2.3809523809523809</v>
      </c>
      <c r="V65" s="6"/>
      <c r="W65" s="6"/>
    </row>
    <row r="66" spans="1:23" x14ac:dyDescent="0.25">
      <c r="A66" t="s">
        <v>21</v>
      </c>
      <c r="B66">
        <v>2020</v>
      </c>
      <c r="C66" s="4">
        <f t="shared" si="8"/>
        <v>43952</v>
      </c>
      <c r="D66">
        <v>5</v>
      </c>
      <c r="E66" s="1">
        <v>5933</v>
      </c>
      <c r="F66" s="1">
        <v>1852</v>
      </c>
      <c r="G66" s="1">
        <f t="shared" si="9"/>
        <v>4081</v>
      </c>
      <c r="H66" s="1">
        <v>8437</v>
      </c>
      <c r="I66" s="2">
        <v>0.44390000000000002</v>
      </c>
      <c r="J66" s="1">
        <v>34162</v>
      </c>
      <c r="K66" s="3">
        <v>1.4930555555555556E-3</v>
      </c>
      <c r="L66" s="3">
        <f t="shared" si="10"/>
        <v>4.049069574493303</v>
      </c>
      <c r="M66" s="5">
        <v>1.3</v>
      </c>
      <c r="N66">
        <v>110</v>
      </c>
      <c r="O66" s="7">
        <v>13430</v>
      </c>
      <c r="P66">
        <v>179</v>
      </c>
      <c r="Q66" s="10">
        <f t="shared" si="11"/>
        <v>68.784763188943202</v>
      </c>
      <c r="R66" s="6">
        <f t="shared" si="12"/>
        <v>2.2636103151862463</v>
      </c>
      <c r="S66" s="6">
        <f t="shared" si="13"/>
        <v>1.5917980324759986</v>
      </c>
      <c r="T66" s="6">
        <f t="shared" si="14"/>
        <v>122.09090909090909</v>
      </c>
      <c r="U66" s="10">
        <f t="shared" si="15"/>
        <v>0.76923076923076916</v>
      </c>
      <c r="V66" s="6"/>
      <c r="W66" s="6"/>
    </row>
    <row r="67" spans="1:23" x14ac:dyDescent="0.25">
      <c r="A67" t="s">
        <v>18</v>
      </c>
      <c r="B67">
        <v>2019</v>
      </c>
      <c r="C67" s="4">
        <f t="shared" si="8"/>
        <v>43709</v>
      </c>
      <c r="D67">
        <v>9</v>
      </c>
      <c r="E67" s="1">
        <v>5824</v>
      </c>
      <c r="F67" s="1">
        <v>5518</v>
      </c>
      <c r="G67" s="1">
        <f t="shared" si="9"/>
        <v>306</v>
      </c>
      <c r="H67" s="1">
        <v>7349</v>
      </c>
      <c r="I67" s="2">
        <v>0.5363</v>
      </c>
      <c r="J67" s="1">
        <v>28215</v>
      </c>
      <c r="K67" s="3">
        <v>1.9907407407407408E-3</v>
      </c>
      <c r="L67" s="3">
        <f t="shared" si="10"/>
        <v>3.8392978636549189</v>
      </c>
      <c r="M67" s="5">
        <v>1.86</v>
      </c>
      <c r="N67">
        <v>137</v>
      </c>
      <c r="O67" s="7">
        <v>22287</v>
      </c>
      <c r="P67">
        <v>181</v>
      </c>
      <c r="Q67" s="10">
        <f t="shared" si="11"/>
        <v>5.2541208791208796</v>
      </c>
      <c r="R67" s="6">
        <f t="shared" si="12"/>
        <v>3.8267513736263736</v>
      </c>
      <c r="S67" s="6">
        <f t="shared" si="13"/>
        <v>3.0326575044223705</v>
      </c>
      <c r="T67" s="6">
        <f t="shared" si="14"/>
        <v>162.67883211678833</v>
      </c>
      <c r="U67" s="10">
        <f t="shared" si="15"/>
        <v>0.5376344086021505</v>
      </c>
      <c r="V67" s="6"/>
      <c r="W67" s="6"/>
    </row>
    <row r="68" spans="1:23" x14ac:dyDescent="0.25">
      <c r="A68" t="s">
        <v>23</v>
      </c>
      <c r="B68">
        <v>2019</v>
      </c>
      <c r="C68" s="4">
        <f t="shared" si="8"/>
        <v>43800</v>
      </c>
      <c r="D68">
        <v>12</v>
      </c>
      <c r="E68" s="1">
        <v>5851</v>
      </c>
      <c r="F68" s="1">
        <v>4826</v>
      </c>
      <c r="G68" s="1">
        <f t="shared" si="9"/>
        <v>1025</v>
      </c>
      <c r="H68" s="1">
        <v>7200</v>
      </c>
      <c r="I68" s="2">
        <v>0.44359999999999999</v>
      </c>
      <c r="J68" s="1">
        <v>27226</v>
      </c>
      <c r="K68" s="3">
        <v>1.1689814814814816E-3</v>
      </c>
      <c r="L68" s="3">
        <f t="shared" si="10"/>
        <v>3.7813888888888889</v>
      </c>
      <c r="M68" s="5">
        <v>0.1</v>
      </c>
      <c r="N68">
        <v>7</v>
      </c>
      <c r="O68" s="7">
        <v>1298</v>
      </c>
      <c r="P68">
        <v>8</v>
      </c>
      <c r="Q68" s="10">
        <f t="shared" si="11"/>
        <v>17.518372927704664</v>
      </c>
      <c r="R68" s="6">
        <f t="shared" si="12"/>
        <v>0.22184242009912836</v>
      </c>
      <c r="S68" s="6">
        <f t="shared" si="13"/>
        <v>0.18027777777777779</v>
      </c>
      <c r="T68" s="6">
        <f t="shared" si="14"/>
        <v>185.42857142857142</v>
      </c>
      <c r="U68" s="10">
        <f t="shared" si="15"/>
        <v>10</v>
      </c>
      <c r="V68" s="6"/>
      <c r="W68" s="6"/>
    </row>
    <row r="69" spans="1:23" x14ac:dyDescent="0.25">
      <c r="A69" t="s">
        <v>23</v>
      </c>
      <c r="B69">
        <v>2019</v>
      </c>
      <c r="C69" s="4">
        <f t="shared" si="8"/>
        <v>43770</v>
      </c>
      <c r="D69">
        <v>11</v>
      </c>
      <c r="E69" s="1">
        <v>5204</v>
      </c>
      <c r="F69" s="1">
        <v>4484</v>
      </c>
      <c r="G69" s="1">
        <f t="shared" si="9"/>
        <v>720</v>
      </c>
      <c r="H69" s="1">
        <v>6540</v>
      </c>
      <c r="I69" s="2">
        <v>0.45179999999999998</v>
      </c>
      <c r="J69" s="1">
        <v>24275</v>
      </c>
      <c r="K69" s="3">
        <v>1.1342592592592593E-3</v>
      </c>
      <c r="L69" s="3">
        <f t="shared" si="10"/>
        <v>3.7117737003058102</v>
      </c>
      <c r="M69" s="5">
        <v>0.05</v>
      </c>
      <c r="N69">
        <v>3</v>
      </c>
      <c r="O69" s="7">
        <v>480</v>
      </c>
      <c r="P69">
        <v>3</v>
      </c>
      <c r="Q69" s="10">
        <f t="shared" si="11"/>
        <v>13.835511145272866</v>
      </c>
      <c r="R69" s="6">
        <f t="shared" si="12"/>
        <v>9.2236740968485775E-2</v>
      </c>
      <c r="S69" s="6">
        <f t="shared" si="13"/>
        <v>7.3394495412844041E-2</v>
      </c>
      <c r="T69" s="6">
        <f t="shared" si="14"/>
        <v>160</v>
      </c>
      <c r="U69" s="10">
        <f t="shared" si="15"/>
        <v>20</v>
      </c>
      <c r="V69" s="6"/>
      <c r="W69" s="6"/>
    </row>
    <row r="70" spans="1:23" x14ac:dyDescent="0.25">
      <c r="A70" t="s">
        <v>17</v>
      </c>
      <c r="B70">
        <v>2020</v>
      </c>
      <c r="C70" s="4">
        <f t="shared" si="8"/>
        <v>43952</v>
      </c>
      <c r="D70">
        <v>5</v>
      </c>
      <c r="E70" s="1">
        <v>4328</v>
      </c>
      <c r="F70">
        <v>637</v>
      </c>
      <c r="G70" s="1">
        <f t="shared" si="9"/>
        <v>3691</v>
      </c>
      <c r="H70" s="1">
        <v>6497</v>
      </c>
      <c r="I70" s="2">
        <v>0.53500000000000003</v>
      </c>
      <c r="J70" s="1">
        <v>22742</v>
      </c>
      <c r="K70" s="3">
        <v>1.6435185185185185E-3</v>
      </c>
      <c r="L70" s="3">
        <f t="shared" si="10"/>
        <v>3.5003847929813761</v>
      </c>
      <c r="M70" s="5">
        <v>0.68</v>
      </c>
      <c r="N70">
        <v>44</v>
      </c>
      <c r="O70" s="7">
        <v>6783</v>
      </c>
      <c r="P70">
        <v>87</v>
      </c>
      <c r="Q70" s="10">
        <f t="shared" si="11"/>
        <v>85.281885397412211</v>
      </c>
      <c r="R70" s="6">
        <f t="shared" si="12"/>
        <v>1.5672365988909427</v>
      </c>
      <c r="S70" s="6">
        <f t="shared" si="13"/>
        <v>1.0440203170694167</v>
      </c>
      <c r="T70" s="6">
        <f t="shared" si="14"/>
        <v>154.15909090909091</v>
      </c>
      <c r="U70" s="10">
        <f t="shared" si="15"/>
        <v>1.4705882352941175</v>
      </c>
      <c r="V70" s="6"/>
      <c r="W70" s="6"/>
    </row>
    <row r="71" spans="1:23" x14ac:dyDescent="0.25">
      <c r="A71" t="s">
        <v>15</v>
      </c>
      <c r="B71">
        <v>2019</v>
      </c>
      <c r="C71" s="4">
        <f t="shared" si="8"/>
        <v>43800</v>
      </c>
      <c r="D71">
        <v>12</v>
      </c>
      <c r="E71" s="1">
        <v>4701</v>
      </c>
      <c r="F71" s="1">
        <v>3245</v>
      </c>
      <c r="G71" s="1">
        <f t="shared" si="9"/>
        <v>1456</v>
      </c>
      <c r="H71" s="1">
        <v>6079</v>
      </c>
      <c r="I71" s="2">
        <v>0.69450000000000001</v>
      </c>
      <c r="J71" s="1">
        <v>12912</v>
      </c>
      <c r="K71" s="3">
        <v>6.2500000000000001E-4</v>
      </c>
      <c r="L71" s="3">
        <f t="shared" si="10"/>
        <v>2.1240335581510115</v>
      </c>
      <c r="M71" s="5">
        <v>0.26</v>
      </c>
      <c r="N71">
        <v>16</v>
      </c>
      <c r="O71" s="7">
        <v>3014</v>
      </c>
      <c r="P71">
        <v>19</v>
      </c>
      <c r="Q71" s="10">
        <f t="shared" si="11"/>
        <v>30.972133588598172</v>
      </c>
      <c r="R71" s="6">
        <f t="shared" si="12"/>
        <v>0.64114018293980002</v>
      </c>
      <c r="S71" s="6">
        <f t="shared" si="13"/>
        <v>0.49580523112354008</v>
      </c>
      <c r="T71" s="6">
        <f t="shared" si="14"/>
        <v>188.375</v>
      </c>
      <c r="U71" s="10">
        <f t="shared" si="15"/>
        <v>3.8461538461538458</v>
      </c>
      <c r="V71" s="6"/>
      <c r="W71" s="6"/>
    </row>
    <row r="72" spans="1:23" x14ac:dyDescent="0.25">
      <c r="A72" t="s">
        <v>24</v>
      </c>
      <c r="B72">
        <v>2020</v>
      </c>
      <c r="C72" s="4">
        <f t="shared" si="8"/>
        <v>43831</v>
      </c>
      <c r="D72">
        <v>1</v>
      </c>
      <c r="E72" s="1">
        <v>2249</v>
      </c>
      <c r="F72">
        <v>26</v>
      </c>
      <c r="G72" s="1">
        <f t="shared" si="9"/>
        <v>2223</v>
      </c>
      <c r="H72" s="1">
        <v>5699</v>
      </c>
      <c r="I72" s="2">
        <v>0.7903</v>
      </c>
      <c r="J72" s="1">
        <v>10421</v>
      </c>
      <c r="K72" s="3">
        <v>6.7129629629629625E-4</v>
      </c>
      <c r="L72" s="3">
        <f t="shared" si="10"/>
        <v>1.8285664151605545</v>
      </c>
      <c r="M72" s="5">
        <v>0.09</v>
      </c>
      <c r="N72">
        <v>5</v>
      </c>
      <c r="O72" s="7">
        <v>776</v>
      </c>
      <c r="P72">
        <v>5</v>
      </c>
      <c r="Q72" s="10">
        <f t="shared" si="11"/>
        <v>98.843930635838149</v>
      </c>
      <c r="R72" s="6">
        <f t="shared" si="12"/>
        <v>0.34504224099599823</v>
      </c>
      <c r="S72" s="6">
        <f t="shared" si="13"/>
        <v>0.13616423934023514</v>
      </c>
      <c r="T72" s="6">
        <f t="shared" si="14"/>
        <v>155.19999999999999</v>
      </c>
      <c r="U72" s="10">
        <f t="shared" si="15"/>
        <v>11.111111111111111</v>
      </c>
      <c r="V72" s="6"/>
      <c r="W72" s="6"/>
    </row>
    <row r="73" spans="1:23" x14ac:dyDescent="0.25">
      <c r="A73" t="s">
        <v>24</v>
      </c>
      <c r="B73">
        <v>2020</v>
      </c>
      <c r="C73" s="4">
        <f t="shared" si="8"/>
        <v>43862</v>
      </c>
      <c r="D73">
        <v>2</v>
      </c>
      <c r="E73" s="1">
        <v>2016</v>
      </c>
      <c r="F73">
        <v>20</v>
      </c>
      <c r="G73" s="1">
        <f t="shared" si="9"/>
        <v>1996</v>
      </c>
      <c r="H73" s="1">
        <v>5357</v>
      </c>
      <c r="I73" s="2">
        <v>0.79649999999999999</v>
      </c>
      <c r="J73" s="1">
        <v>9440</v>
      </c>
      <c r="K73" s="3">
        <v>6.8287037037037036E-4</v>
      </c>
      <c r="L73" s="3">
        <f t="shared" si="10"/>
        <v>1.7621803248086616</v>
      </c>
      <c r="M73" s="5">
        <v>0.09</v>
      </c>
      <c r="N73">
        <v>5</v>
      </c>
      <c r="O73" s="7">
        <v>620</v>
      </c>
      <c r="P73">
        <v>6</v>
      </c>
      <c r="Q73" s="10">
        <f t="shared" si="11"/>
        <v>99.007936507936506</v>
      </c>
      <c r="R73" s="6">
        <f t="shared" si="12"/>
        <v>0.30753968253968256</v>
      </c>
      <c r="S73" s="6">
        <f t="shared" si="13"/>
        <v>0.11573641963785701</v>
      </c>
      <c r="T73" s="6">
        <f t="shared" si="14"/>
        <v>124</v>
      </c>
      <c r="U73" s="10">
        <f t="shared" si="15"/>
        <v>11.111111111111111</v>
      </c>
      <c r="V73" s="6"/>
      <c r="W73" s="6"/>
    </row>
    <row r="74" spans="1:23" x14ac:dyDescent="0.25">
      <c r="A74" t="s">
        <v>23</v>
      </c>
      <c r="B74">
        <v>2019</v>
      </c>
      <c r="C74" s="4">
        <f t="shared" si="8"/>
        <v>43739</v>
      </c>
      <c r="D74">
        <v>10</v>
      </c>
      <c r="E74" s="1">
        <v>4627</v>
      </c>
      <c r="F74" s="1">
        <v>4161</v>
      </c>
      <c r="G74" s="1">
        <f t="shared" si="9"/>
        <v>466</v>
      </c>
      <c r="H74" s="1">
        <v>5352</v>
      </c>
      <c r="I74" s="2">
        <v>0.30359999999999998</v>
      </c>
      <c r="J74" s="1">
        <v>20371</v>
      </c>
      <c r="K74" s="3">
        <v>1.2152777777777778E-3</v>
      </c>
      <c r="L74" s="3">
        <f t="shared" si="10"/>
        <v>3.8062406576980568</v>
      </c>
      <c r="M74" s="5">
        <v>0.11</v>
      </c>
      <c r="N74">
        <v>6</v>
      </c>
      <c r="O74" s="7">
        <v>1157</v>
      </c>
      <c r="P74">
        <v>22</v>
      </c>
      <c r="Q74" s="10">
        <f t="shared" si="11"/>
        <v>10.071320510049709</v>
      </c>
      <c r="R74" s="6">
        <f t="shared" si="12"/>
        <v>0.25005403068943161</v>
      </c>
      <c r="S74" s="6">
        <f t="shared" si="13"/>
        <v>0.21618086696562033</v>
      </c>
      <c r="T74" s="6">
        <f t="shared" si="14"/>
        <v>192.83333333333334</v>
      </c>
      <c r="U74" s="10">
        <f t="shared" si="15"/>
        <v>9.0909090909090917</v>
      </c>
      <c r="V74" s="6"/>
      <c r="W74" s="6"/>
    </row>
    <row r="75" spans="1:23" x14ac:dyDescent="0.25">
      <c r="A75" t="s">
        <v>25</v>
      </c>
      <c r="B75">
        <v>2019</v>
      </c>
      <c r="C75" s="4">
        <f t="shared" si="8"/>
        <v>43709</v>
      </c>
      <c r="D75">
        <v>9</v>
      </c>
      <c r="E75" s="1">
        <v>3504</v>
      </c>
      <c r="F75" s="1">
        <v>2184</v>
      </c>
      <c r="G75" s="1">
        <f t="shared" si="9"/>
        <v>1320</v>
      </c>
      <c r="H75" s="1">
        <v>4882</v>
      </c>
      <c r="I75" s="2">
        <v>0.56469999999999998</v>
      </c>
      <c r="J75" s="1">
        <v>16125</v>
      </c>
      <c r="K75" s="3">
        <v>1.3773148148148147E-3</v>
      </c>
      <c r="L75" s="3">
        <f t="shared" si="10"/>
        <v>3.3029496108152396</v>
      </c>
      <c r="M75" s="5">
        <v>0.2</v>
      </c>
      <c r="N75">
        <v>10</v>
      </c>
      <c r="O75" s="7">
        <v>1576</v>
      </c>
      <c r="P75">
        <v>17</v>
      </c>
      <c r="Q75" s="10">
        <f t="shared" si="11"/>
        <v>37.671232876712331</v>
      </c>
      <c r="R75" s="6">
        <f t="shared" si="12"/>
        <v>0.4497716894977169</v>
      </c>
      <c r="S75" s="6">
        <f t="shared" si="13"/>
        <v>0.32281851700122899</v>
      </c>
      <c r="T75" s="6">
        <f t="shared" si="14"/>
        <v>157.6</v>
      </c>
      <c r="U75" s="10">
        <f t="shared" si="15"/>
        <v>5</v>
      </c>
      <c r="V75" s="6"/>
      <c r="W75" s="6"/>
    </row>
    <row r="76" spans="1:23" hidden="1" x14ac:dyDescent="0.25">
      <c r="A76" t="s">
        <v>26</v>
      </c>
      <c r="B76">
        <v>2020</v>
      </c>
      <c r="C76" s="4">
        <f t="shared" si="8"/>
        <v>43952</v>
      </c>
      <c r="D76">
        <v>5</v>
      </c>
      <c r="E76" s="1">
        <v>4224</v>
      </c>
      <c r="F76" s="1">
        <v>4151</v>
      </c>
      <c r="G76" s="1">
        <f t="shared" si="9"/>
        <v>73</v>
      </c>
      <c r="H76" s="1">
        <v>4822</v>
      </c>
      <c r="I76" s="2">
        <v>0.82809999999999995</v>
      </c>
      <c r="J76" s="1">
        <v>7727</v>
      </c>
      <c r="K76" s="3">
        <v>4.861111111111111E-4</v>
      </c>
      <c r="L76" s="3">
        <f t="shared" si="10"/>
        <v>1.602447117378681</v>
      </c>
      <c r="M76" s="5">
        <v>0</v>
      </c>
      <c r="N76">
        <v>0</v>
      </c>
      <c r="O76" s="7">
        <v>0</v>
      </c>
      <c r="P76">
        <v>0</v>
      </c>
      <c r="Q76" s="10">
        <f t="shared" si="11"/>
        <v>1.7282196969696968</v>
      </c>
      <c r="R76" s="6">
        <f t="shared" si="12"/>
        <v>0</v>
      </c>
      <c r="S76" s="6">
        <f t="shared" si="13"/>
        <v>0</v>
      </c>
      <c r="T76" s="6" t="e">
        <f t="shared" si="14"/>
        <v>#DIV/0!</v>
      </c>
      <c r="U76" s="10" t="e">
        <f t="shared" si="15"/>
        <v>#DIV/0!</v>
      </c>
      <c r="V76" s="6">
        <f>SUMIF(B76:B321,2019,F76:F321)</f>
        <v>27099</v>
      </c>
      <c r="W76" s="6">
        <f>AVERAGEIF($B$2:$B$247,2019,$M$2:$M$247)</f>
        <v>2.9876404494382021</v>
      </c>
    </row>
    <row r="77" spans="1:23" x14ac:dyDescent="0.25">
      <c r="A77" t="s">
        <v>25</v>
      </c>
      <c r="B77">
        <v>2019</v>
      </c>
      <c r="C77" s="4">
        <f t="shared" si="8"/>
        <v>43739</v>
      </c>
      <c r="D77">
        <v>10</v>
      </c>
      <c r="E77" s="1">
        <v>2824</v>
      </c>
      <c r="F77" s="1">
        <v>1701</v>
      </c>
      <c r="G77" s="1">
        <f t="shared" si="9"/>
        <v>1123</v>
      </c>
      <c r="H77" s="1">
        <v>4150</v>
      </c>
      <c r="I77" s="2">
        <v>0.29759999999999998</v>
      </c>
      <c r="J77" s="1">
        <v>15145</v>
      </c>
      <c r="K77" s="3">
        <v>1.5509259259259259E-3</v>
      </c>
      <c r="L77" s="3">
        <f t="shared" si="10"/>
        <v>3.649397590361446</v>
      </c>
      <c r="M77" s="5">
        <v>0.14000000000000001</v>
      </c>
      <c r="N77">
        <v>6</v>
      </c>
      <c r="O77" s="7">
        <v>1217</v>
      </c>
      <c r="P77">
        <v>14</v>
      </c>
      <c r="Q77" s="10">
        <f t="shared" si="11"/>
        <v>39.766288951841361</v>
      </c>
      <c r="R77" s="6">
        <f t="shared" si="12"/>
        <v>0.43094900849858359</v>
      </c>
      <c r="S77" s="6">
        <f t="shared" si="13"/>
        <v>0.29325301204819276</v>
      </c>
      <c r="T77" s="6">
        <f t="shared" si="14"/>
        <v>202.83333333333334</v>
      </c>
      <c r="U77" s="10">
        <f t="shared" si="15"/>
        <v>7.1428571428571423</v>
      </c>
      <c r="V77" s="6"/>
      <c r="W77" s="6"/>
    </row>
    <row r="78" spans="1:23" x14ac:dyDescent="0.25">
      <c r="A78" t="s">
        <v>24</v>
      </c>
      <c r="B78">
        <v>2019</v>
      </c>
      <c r="C78" s="4">
        <f t="shared" si="8"/>
        <v>43770</v>
      </c>
      <c r="D78">
        <v>11</v>
      </c>
      <c r="E78" s="1">
        <v>1830</v>
      </c>
      <c r="F78">
        <v>31</v>
      </c>
      <c r="G78" s="1">
        <f t="shared" si="9"/>
        <v>1799</v>
      </c>
      <c r="H78" s="1">
        <v>4060</v>
      </c>
      <c r="I78" s="2">
        <v>0.79159999999999997</v>
      </c>
      <c r="J78" s="1">
        <v>8122</v>
      </c>
      <c r="K78" s="3">
        <v>8.564814814814815E-4</v>
      </c>
      <c r="L78" s="3">
        <f t="shared" si="10"/>
        <v>2.0004926108374383</v>
      </c>
      <c r="M78" s="5">
        <v>0.12</v>
      </c>
      <c r="N78">
        <v>5</v>
      </c>
      <c r="O78" s="7">
        <v>623</v>
      </c>
      <c r="P78">
        <v>9</v>
      </c>
      <c r="Q78" s="10">
        <f t="shared" si="11"/>
        <v>98.306010928961754</v>
      </c>
      <c r="R78" s="6">
        <f t="shared" si="12"/>
        <v>0.34043715846994538</v>
      </c>
      <c r="S78" s="6">
        <f t="shared" si="13"/>
        <v>0.15344827586206897</v>
      </c>
      <c r="T78" s="6">
        <f t="shared" si="14"/>
        <v>124.6</v>
      </c>
      <c r="U78" s="10">
        <f t="shared" si="15"/>
        <v>8.3333333333333339</v>
      </c>
      <c r="V78" s="6"/>
      <c r="W78" s="6"/>
    </row>
    <row r="79" spans="1:23" x14ac:dyDescent="0.25">
      <c r="A79" t="s">
        <v>24</v>
      </c>
      <c r="B79">
        <v>2019</v>
      </c>
      <c r="C79" s="4">
        <f t="shared" si="8"/>
        <v>43800</v>
      </c>
      <c r="D79">
        <v>12</v>
      </c>
      <c r="E79" s="1">
        <v>1890</v>
      </c>
      <c r="F79">
        <v>18</v>
      </c>
      <c r="G79" s="1">
        <f t="shared" si="9"/>
        <v>1872</v>
      </c>
      <c r="H79" s="1">
        <v>4033</v>
      </c>
      <c r="I79" s="2">
        <v>0.72950000000000004</v>
      </c>
      <c r="J79" s="1">
        <v>10040</v>
      </c>
      <c r="K79" s="3">
        <v>1.4236111111111112E-3</v>
      </c>
      <c r="L79" s="3">
        <f t="shared" si="10"/>
        <v>2.4894619390032235</v>
      </c>
      <c r="M79" s="5">
        <v>0.17</v>
      </c>
      <c r="N79">
        <v>7</v>
      </c>
      <c r="O79" s="7">
        <v>1320</v>
      </c>
      <c r="P79">
        <v>12</v>
      </c>
      <c r="Q79" s="10">
        <f t="shared" si="11"/>
        <v>99.047619047619051</v>
      </c>
      <c r="R79" s="6">
        <f t="shared" si="12"/>
        <v>0.69841269841269837</v>
      </c>
      <c r="S79" s="6">
        <f t="shared" si="13"/>
        <v>0.32729977684106126</v>
      </c>
      <c r="T79" s="6">
        <f t="shared" si="14"/>
        <v>188.57142857142858</v>
      </c>
      <c r="U79" s="10">
        <f t="shared" si="15"/>
        <v>5.8823529411764701</v>
      </c>
      <c r="V79" s="6"/>
      <c r="W79" s="6"/>
    </row>
    <row r="80" spans="1:23" hidden="1" x14ac:dyDescent="0.25">
      <c r="A80" t="s">
        <v>23</v>
      </c>
      <c r="B80">
        <v>2019</v>
      </c>
      <c r="C80" s="4">
        <f t="shared" si="8"/>
        <v>43709</v>
      </c>
      <c r="D80">
        <v>9</v>
      </c>
      <c r="E80" s="1">
        <v>3345</v>
      </c>
      <c r="F80" s="1">
        <v>3031</v>
      </c>
      <c r="G80" s="1">
        <f t="shared" si="9"/>
        <v>314</v>
      </c>
      <c r="H80" s="1">
        <v>3721</v>
      </c>
      <c r="I80" s="2">
        <v>0.50280000000000002</v>
      </c>
      <c r="J80" s="1">
        <v>11704</v>
      </c>
      <c r="K80" s="3">
        <v>8.7962962962962962E-4</v>
      </c>
      <c r="L80" s="3">
        <f t="shared" si="10"/>
        <v>3.1453910239183016</v>
      </c>
      <c r="M80" s="5">
        <v>0</v>
      </c>
      <c r="N80">
        <v>0</v>
      </c>
      <c r="O80" s="7">
        <v>0</v>
      </c>
      <c r="P80">
        <v>0</v>
      </c>
      <c r="Q80" s="10">
        <f t="shared" si="11"/>
        <v>9.3871449925261583</v>
      </c>
      <c r="R80" s="6">
        <f t="shared" si="12"/>
        <v>0</v>
      </c>
      <c r="S80" s="6">
        <f t="shared" si="13"/>
        <v>0</v>
      </c>
      <c r="T80" s="6" t="e">
        <f t="shared" si="14"/>
        <v>#DIV/0!</v>
      </c>
      <c r="U80" s="10" t="e">
        <f t="shared" si="15"/>
        <v>#DIV/0!</v>
      </c>
      <c r="V80" s="6">
        <f>SUMIF(B80:B325,2019,F80:F325)</f>
        <v>25349</v>
      </c>
      <c r="W80" s="6">
        <f>AVERAGEIF($B$2:$B$247,2019,$M$2:$M$247)</f>
        <v>2.9876404494382021</v>
      </c>
    </row>
    <row r="81" spans="1:23" x14ac:dyDescent="0.25">
      <c r="A81" t="s">
        <v>27</v>
      </c>
      <c r="B81">
        <v>2020</v>
      </c>
      <c r="C81" s="4">
        <f t="shared" si="8"/>
        <v>43983</v>
      </c>
      <c r="D81">
        <v>6</v>
      </c>
      <c r="E81" s="1">
        <v>1422</v>
      </c>
      <c r="F81">
        <v>20</v>
      </c>
      <c r="G81" s="1">
        <f t="shared" si="9"/>
        <v>1402</v>
      </c>
      <c r="H81" s="1">
        <v>3714</v>
      </c>
      <c r="I81" s="2">
        <v>0.7571</v>
      </c>
      <c r="J81" s="1">
        <v>7597</v>
      </c>
      <c r="K81" s="3">
        <v>1.0763888888888889E-3</v>
      </c>
      <c r="L81" s="3">
        <f t="shared" si="10"/>
        <v>2.0455035002692514</v>
      </c>
      <c r="M81" s="5">
        <v>0.03</v>
      </c>
      <c r="N81">
        <v>1</v>
      </c>
      <c r="O81" s="7">
        <v>111</v>
      </c>
      <c r="P81">
        <v>5</v>
      </c>
      <c r="Q81" s="10">
        <f t="shared" si="11"/>
        <v>98.593530239099863</v>
      </c>
      <c r="R81" s="6">
        <f t="shared" si="12"/>
        <v>7.805907172995781E-2</v>
      </c>
      <c r="S81" s="6">
        <f t="shared" si="13"/>
        <v>2.9886914378029081E-2</v>
      </c>
      <c r="T81" s="6">
        <f t="shared" si="14"/>
        <v>111</v>
      </c>
      <c r="U81" s="10">
        <f t="shared" si="15"/>
        <v>33.333333333333336</v>
      </c>
      <c r="V81" s="6"/>
      <c r="W81" s="6"/>
    </row>
    <row r="82" spans="1:23" hidden="1" x14ac:dyDescent="0.25">
      <c r="A82" t="s">
        <v>24</v>
      </c>
      <c r="B82">
        <v>2019</v>
      </c>
      <c r="C82" s="4">
        <f t="shared" si="8"/>
        <v>43739</v>
      </c>
      <c r="D82">
        <v>10</v>
      </c>
      <c r="E82" s="1">
        <v>1528</v>
      </c>
      <c r="F82">
        <v>11</v>
      </c>
      <c r="G82" s="1">
        <f t="shared" si="9"/>
        <v>1517</v>
      </c>
      <c r="H82" s="1">
        <v>3703</v>
      </c>
      <c r="I82" s="2">
        <v>0.5514</v>
      </c>
      <c r="J82" s="1">
        <v>7678</v>
      </c>
      <c r="K82" s="3">
        <v>8.7962962962962962E-4</v>
      </c>
      <c r="L82" s="3">
        <f t="shared" si="10"/>
        <v>2.0734539562516878</v>
      </c>
      <c r="M82" s="5">
        <v>0</v>
      </c>
      <c r="N82">
        <v>0</v>
      </c>
      <c r="O82" s="7">
        <v>0</v>
      </c>
      <c r="P82">
        <v>0</v>
      </c>
      <c r="Q82" s="10">
        <f t="shared" si="11"/>
        <v>99.28010471204189</v>
      </c>
      <c r="R82" s="6">
        <f t="shared" si="12"/>
        <v>0</v>
      </c>
      <c r="S82" s="6">
        <f t="shared" si="13"/>
        <v>0</v>
      </c>
      <c r="T82" s="6" t="e">
        <f t="shared" si="14"/>
        <v>#DIV/0!</v>
      </c>
      <c r="U82" s="10" t="e">
        <f t="shared" si="15"/>
        <v>#DIV/0!</v>
      </c>
      <c r="V82" s="6">
        <f>SUMIF(B82:B327,2019,F82:F327)</f>
        <v>22318</v>
      </c>
      <c r="W82" s="6">
        <f>AVERAGEIF($B$2:$B$247,2019,$M$2:$M$247)</f>
        <v>2.9876404494382021</v>
      </c>
    </row>
    <row r="83" spans="1:23" x14ac:dyDescent="0.25">
      <c r="A83" t="s">
        <v>27</v>
      </c>
      <c r="B83">
        <v>2020</v>
      </c>
      <c r="C83" s="4">
        <f t="shared" si="8"/>
        <v>43952</v>
      </c>
      <c r="D83">
        <v>5</v>
      </c>
      <c r="E83" s="1">
        <v>1491</v>
      </c>
      <c r="F83">
        <v>13</v>
      </c>
      <c r="G83" s="1">
        <f t="shared" si="9"/>
        <v>1478</v>
      </c>
      <c r="H83" s="1">
        <v>3595</v>
      </c>
      <c r="I83" s="2">
        <v>0.70930000000000004</v>
      </c>
      <c r="J83" s="1">
        <v>9164</v>
      </c>
      <c r="K83" s="3">
        <v>1.3425925925925925E-3</v>
      </c>
      <c r="L83" s="3">
        <f t="shared" si="10"/>
        <v>2.5490959666203059</v>
      </c>
      <c r="M83" s="5">
        <v>0.14000000000000001</v>
      </c>
      <c r="N83">
        <v>5</v>
      </c>
      <c r="O83" s="7">
        <v>1139</v>
      </c>
      <c r="P83">
        <v>14</v>
      </c>
      <c r="Q83" s="10">
        <f t="shared" si="11"/>
        <v>99.128101945003351</v>
      </c>
      <c r="R83" s="6">
        <f t="shared" si="12"/>
        <v>0.76391683433936952</v>
      </c>
      <c r="S83" s="6">
        <f t="shared" si="13"/>
        <v>0.31682892906815019</v>
      </c>
      <c r="T83" s="6">
        <f t="shared" si="14"/>
        <v>227.8</v>
      </c>
      <c r="U83" s="10">
        <f t="shared" si="15"/>
        <v>7.1428571428571423</v>
      </c>
      <c r="V83" s="6"/>
      <c r="W83" s="6"/>
    </row>
    <row r="84" spans="1:23" x14ac:dyDescent="0.25">
      <c r="A84" t="s">
        <v>28</v>
      </c>
      <c r="B84">
        <v>2020</v>
      </c>
      <c r="C84" s="4">
        <f t="shared" si="8"/>
        <v>43983</v>
      </c>
      <c r="D84">
        <v>6</v>
      </c>
      <c r="E84" s="1">
        <v>3114</v>
      </c>
      <c r="F84" s="1">
        <v>2655</v>
      </c>
      <c r="G84" s="1">
        <f t="shared" si="9"/>
        <v>459</v>
      </c>
      <c r="H84" s="1">
        <v>3457</v>
      </c>
      <c r="I84" s="2">
        <v>0.63119999999999998</v>
      </c>
      <c r="J84" s="1">
        <v>8551</v>
      </c>
      <c r="K84" s="3">
        <v>1.1805555555555556E-3</v>
      </c>
      <c r="L84" s="3">
        <f t="shared" si="10"/>
        <v>2.4735319641307494</v>
      </c>
      <c r="M84" s="5">
        <v>0.57999999999999996</v>
      </c>
      <c r="N84">
        <v>20</v>
      </c>
      <c r="O84" s="7">
        <v>2666</v>
      </c>
      <c r="P84">
        <v>26</v>
      </c>
      <c r="Q84" s="10">
        <f t="shared" si="11"/>
        <v>14.739884393063585</v>
      </c>
      <c r="R84" s="6">
        <f t="shared" si="12"/>
        <v>0.85613359023763647</v>
      </c>
      <c r="S84" s="6">
        <f t="shared" si="13"/>
        <v>0.77118889210297947</v>
      </c>
      <c r="T84" s="6">
        <f t="shared" si="14"/>
        <v>133.30000000000001</v>
      </c>
      <c r="U84" s="10">
        <f t="shared" si="15"/>
        <v>1.7241379310344829</v>
      </c>
      <c r="V84" s="6"/>
      <c r="W84" s="6"/>
    </row>
    <row r="85" spans="1:23" x14ac:dyDescent="0.25">
      <c r="A85" t="s">
        <v>28</v>
      </c>
      <c r="B85">
        <v>2020</v>
      </c>
      <c r="C85" s="4">
        <f t="shared" si="8"/>
        <v>44013</v>
      </c>
      <c r="D85">
        <v>7</v>
      </c>
      <c r="E85" s="1">
        <v>2997</v>
      </c>
      <c r="F85" s="1">
        <v>2602</v>
      </c>
      <c r="G85" s="1">
        <f t="shared" si="9"/>
        <v>395</v>
      </c>
      <c r="H85" s="1">
        <v>3368</v>
      </c>
      <c r="I85" s="2">
        <v>0.64339999999999997</v>
      </c>
      <c r="J85" s="1">
        <v>7758</v>
      </c>
      <c r="K85" s="3">
        <v>1.0879629629629629E-3</v>
      </c>
      <c r="L85" s="3">
        <f t="shared" si="10"/>
        <v>2.3034441805225652</v>
      </c>
      <c r="M85" s="5">
        <v>0.24</v>
      </c>
      <c r="N85">
        <v>8</v>
      </c>
      <c r="O85" s="7">
        <v>1059</v>
      </c>
      <c r="P85">
        <v>10</v>
      </c>
      <c r="Q85" s="10">
        <f t="shared" si="11"/>
        <v>13.179846513179847</v>
      </c>
      <c r="R85" s="6">
        <f t="shared" si="12"/>
        <v>0.35335335335335333</v>
      </c>
      <c r="S85" s="6">
        <f t="shared" si="13"/>
        <v>0.31442992874109266</v>
      </c>
      <c r="T85" s="6">
        <f t="shared" si="14"/>
        <v>132.375</v>
      </c>
      <c r="U85" s="10">
        <f t="shared" si="15"/>
        <v>4.166666666666667</v>
      </c>
      <c r="V85" s="6"/>
      <c r="W85" s="6"/>
    </row>
    <row r="86" spans="1:23" x14ac:dyDescent="0.25">
      <c r="A86" t="s">
        <v>25</v>
      </c>
      <c r="B86">
        <v>2019</v>
      </c>
      <c r="C86" s="4">
        <f t="shared" si="8"/>
        <v>43770</v>
      </c>
      <c r="D86">
        <v>11</v>
      </c>
      <c r="E86" s="1">
        <v>2251</v>
      </c>
      <c r="F86" s="1">
        <v>1262</v>
      </c>
      <c r="G86" s="1">
        <f t="shared" si="9"/>
        <v>989</v>
      </c>
      <c r="H86" s="1">
        <v>3265</v>
      </c>
      <c r="I86" s="2">
        <v>0.50229999999999997</v>
      </c>
      <c r="J86" s="1">
        <v>12367</v>
      </c>
      <c r="K86" s="3">
        <v>1.712962962962963E-3</v>
      </c>
      <c r="L86" s="3">
        <f t="shared" si="10"/>
        <v>3.7877488514548241</v>
      </c>
      <c r="M86" s="5">
        <v>0.12</v>
      </c>
      <c r="N86">
        <v>4</v>
      </c>
      <c r="O86" s="7">
        <v>644</v>
      </c>
      <c r="P86">
        <v>8</v>
      </c>
      <c r="Q86" s="10">
        <f t="shared" si="11"/>
        <v>43.936028431808083</v>
      </c>
      <c r="R86" s="6">
        <f t="shared" si="12"/>
        <v>0.28609506885828523</v>
      </c>
      <c r="S86" s="6">
        <f t="shared" si="13"/>
        <v>0.19724349157733537</v>
      </c>
      <c r="T86" s="6">
        <f t="shared" si="14"/>
        <v>161</v>
      </c>
      <c r="U86" s="10">
        <f t="shared" si="15"/>
        <v>8.3333333333333339</v>
      </c>
      <c r="V86" s="6"/>
      <c r="W86" s="6"/>
    </row>
    <row r="87" spans="1:23" x14ac:dyDescent="0.25">
      <c r="A87" t="s">
        <v>28</v>
      </c>
      <c r="B87">
        <v>2020</v>
      </c>
      <c r="C87" s="4">
        <f t="shared" si="8"/>
        <v>43952</v>
      </c>
      <c r="D87">
        <v>5</v>
      </c>
      <c r="E87" s="1">
        <v>2773</v>
      </c>
      <c r="F87" s="1">
        <v>2289</v>
      </c>
      <c r="G87" s="1">
        <f t="shared" si="9"/>
        <v>484</v>
      </c>
      <c r="H87" s="1">
        <v>3189</v>
      </c>
      <c r="I87" s="2">
        <v>0.63939999999999997</v>
      </c>
      <c r="J87" s="1">
        <v>8462</v>
      </c>
      <c r="K87" s="3">
        <v>1.3888888888888889E-3</v>
      </c>
      <c r="L87" s="3">
        <f t="shared" si="10"/>
        <v>2.6534963938538727</v>
      </c>
      <c r="M87" s="5">
        <v>0.44</v>
      </c>
      <c r="N87">
        <v>14</v>
      </c>
      <c r="O87" s="7">
        <v>2382</v>
      </c>
      <c r="P87">
        <v>28</v>
      </c>
      <c r="Q87" s="10">
        <f t="shared" si="11"/>
        <v>17.454020915975477</v>
      </c>
      <c r="R87" s="6">
        <f t="shared" si="12"/>
        <v>0.858997475658132</v>
      </c>
      <c r="S87" s="6">
        <f t="shared" si="13"/>
        <v>0.74694261523988714</v>
      </c>
      <c r="T87" s="6">
        <f t="shared" si="14"/>
        <v>170.14285714285714</v>
      </c>
      <c r="U87" s="10">
        <f t="shared" si="15"/>
        <v>2.2727272727272729</v>
      </c>
      <c r="V87" s="6"/>
      <c r="W87" s="6"/>
    </row>
    <row r="88" spans="1:23" x14ac:dyDescent="0.25">
      <c r="A88" t="s">
        <v>15</v>
      </c>
      <c r="B88">
        <v>2019</v>
      </c>
      <c r="C88" s="4">
        <f t="shared" si="8"/>
        <v>43709</v>
      </c>
      <c r="D88">
        <v>9</v>
      </c>
      <c r="E88" s="1">
        <v>2805</v>
      </c>
      <c r="F88" s="1">
        <v>2243</v>
      </c>
      <c r="G88" s="1">
        <f t="shared" si="9"/>
        <v>562</v>
      </c>
      <c r="H88" s="1">
        <v>3121</v>
      </c>
      <c r="I88" s="2">
        <v>0.49980000000000002</v>
      </c>
      <c r="J88" s="1">
        <v>11136</v>
      </c>
      <c r="K88" s="3">
        <v>1.2152777777777778E-3</v>
      </c>
      <c r="L88" s="3">
        <f t="shared" si="10"/>
        <v>3.5680871515539891</v>
      </c>
      <c r="M88" s="5">
        <v>0.13</v>
      </c>
      <c r="N88">
        <v>4</v>
      </c>
      <c r="O88" s="7">
        <v>1132</v>
      </c>
      <c r="P88">
        <v>9</v>
      </c>
      <c r="Q88" s="10">
        <f t="shared" si="11"/>
        <v>20.035650623885918</v>
      </c>
      <c r="R88" s="6">
        <f t="shared" si="12"/>
        <v>0.4035650623885918</v>
      </c>
      <c r="S88" s="6">
        <f t="shared" si="13"/>
        <v>0.36270426145466195</v>
      </c>
      <c r="T88" s="6">
        <f t="shared" si="14"/>
        <v>283</v>
      </c>
      <c r="U88" s="10">
        <f t="shared" si="15"/>
        <v>7.6923076923076916</v>
      </c>
      <c r="V88" s="6"/>
      <c r="W88" s="6"/>
    </row>
    <row r="89" spans="1:23" x14ac:dyDescent="0.25">
      <c r="A89" t="s">
        <v>28</v>
      </c>
      <c r="B89">
        <v>2020</v>
      </c>
      <c r="C89" s="4">
        <f t="shared" si="8"/>
        <v>43831</v>
      </c>
      <c r="D89">
        <v>1</v>
      </c>
      <c r="E89" s="1">
        <v>2688</v>
      </c>
      <c r="F89" s="1">
        <v>2089</v>
      </c>
      <c r="G89" s="1">
        <f t="shared" si="9"/>
        <v>599</v>
      </c>
      <c r="H89" s="1">
        <v>2978</v>
      </c>
      <c r="I89" s="2">
        <v>0.73980000000000001</v>
      </c>
      <c r="J89" s="1">
        <v>5905</v>
      </c>
      <c r="K89" s="3">
        <v>9.3749999999999997E-4</v>
      </c>
      <c r="L89" s="3">
        <f t="shared" si="10"/>
        <v>1.9828744123572868</v>
      </c>
      <c r="M89" s="5">
        <v>0.34</v>
      </c>
      <c r="N89">
        <v>10</v>
      </c>
      <c r="O89" s="7">
        <v>2262</v>
      </c>
      <c r="P89">
        <v>22</v>
      </c>
      <c r="Q89" s="10">
        <f t="shared" si="11"/>
        <v>22.284226190476193</v>
      </c>
      <c r="R89" s="6">
        <f t="shared" si="12"/>
        <v>0.8415178571428571</v>
      </c>
      <c r="S89" s="6">
        <f t="shared" si="13"/>
        <v>0.75957018132975151</v>
      </c>
      <c r="T89" s="6">
        <f t="shared" si="14"/>
        <v>226.2</v>
      </c>
      <c r="U89" s="10">
        <f t="shared" si="15"/>
        <v>2.9411764705882351</v>
      </c>
      <c r="V89" s="6"/>
      <c r="W89" s="6"/>
    </row>
    <row r="90" spans="1:23" x14ac:dyDescent="0.25">
      <c r="A90" t="s">
        <v>29</v>
      </c>
      <c r="B90">
        <v>2019</v>
      </c>
      <c r="C90" s="4">
        <f t="shared" si="8"/>
        <v>43739</v>
      </c>
      <c r="D90">
        <v>10</v>
      </c>
      <c r="E90" s="1">
        <v>2033</v>
      </c>
      <c r="F90" s="1">
        <v>1523</v>
      </c>
      <c r="G90" s="1">
        <f t="shared" si="9"/>
        <v>510</v>
      </c>
      <c r="H90" s="1">
        <v>2840</v>
      </c>
      <c r="I90" s="2">
        <v>0.37109999999999999</v>
      </c>
      <c r="J90" s="1">
        <v>11116</v>
      </c>
      <c r="K90" s="3">
        <v>2.0138888888888888E-3</v>
      </c>
      <c r="L90" s="3">
        <f t="shared" si="10"/>
        <v>3.9140845070422534</v>
      </c>
      <c r="M90" s="5">
        <v>0.25</v>
      </c>
      <c r="N90">
        <v>7</v>
      </c>
      <c r="O90" s="7">
        <v>1280</v>
      </c>
      <c r="P90">
        <v>12</v>
      </c>
      <c r="Q90" s="10">
        <f t="shared" si="11"/>
        <v>25.086079685194296</v>
      </c>
      <c r="R90" s="6">
        <f t="shared" si="12"/>
        <v>0.62961141170683721</v>
      </c>
      <c r="S90" s="6">
        <f t="shared" si="13"/>
        <v>0.45070422535211269</v>
      </c>
      <c r="T90" s="6">
        <f t="shared" si="14"/>
        <v>182.85714285714286</v>
      </c>
      <c r="U90" s="10">
        <f t="shared" si="15"/>
        <v>4</v>
      </c>
      <c r="V90" s="6"/>
      <c r="W90" s="6"/>
    </row>
    <row r="91" spans="1:23" x14ac:dyDescent="0.25">
      <c r="A91" t="s">
        <v>21</v>
      </c>
      <c r="B91">
        <v>2020</v>
      </c>
      <c r="C91" s="4">
        <f t="shared" si="8"/>
        <v>43922</v>
      </c>
      <c r="D91">
        <v>4</v>
      </c>
      <c r="E91" s="1">
        <v>2537</v>
      </c>
      <c r="F91" s="1">
        <v>1834</v>
      </c>
      <c r="G91" s="1">
        <f t="shared" si="9"/>
        <v>703</v>
      </c>
      <c r="H91" s="1">
        <v>2797</v>
      </c>
      <c r="I91" s="2">
        <v>0.59809999999999997</v>
      </c>
      <c r="J91" s="1">
        <v>12348</v>
      </c>
      <c r="K91" s="3">
        <v>1.7013888888888888E-3</v>
      </c>
      <c r="L91" s="3">
        <f t="shared" si="10"/>
        <v>4.4147300679299253</v>
      </c>
      <c r="M91" s="5">
        <v>1.32</v>
      </c>
      <c r="N91">
        <v>37</v>
      </c>
      <c r="O91" s="7">
        <v>4221</v>
      </c>
      <c r="P91">
        <v>56</v>
      </c>
      <c r="Q91" s="10">
        <f t="shared" si="11"/>
        <v>27.709893575088689</v>
      </c>
      <c r="R91" s="6">
        <f t="shared" si="12"/>
        <v>1.6637761135199054</v>
      </c>
      <c r="S91" s="6">
        <f t="shared" si="13"/>
        <v>1.5091169109760458</v>
      </c>
      <c r="T91" s="6">
        <f t="shared" si="14"/>
        <v>114.08108108108108</v>
      </c>
      <c r="U91" s="10">
        <f t="shared" si="15"/>
        <v>0.75757575757575757</v>
      </c>
      <c r="V91" s="6"/>
      <c r="W91" s="6"/>
    </row>
    <row r="92" spans="1:23" x14ac:dyDescent="0.25">
      <c r="A92" t="s">
        <v>29</v>
      </c>
      <c r="B92">
        <v>2019</v>
      </c>
      <c r="C92" s="4">
        <f t="shared" si="8"/>
        <v>43800</v>
      </c>
      <c r="D92">
        <v>12</v>
      </c>
      <c r="E92" s="1">
        <v>2045</v>
      </c>
      <c r="F92" s="1">
        <v>1495</v>
      </c>
      <c r="G92" s="1">
        <f t="shared" si="9"/>
        <v>550</v>
      </c>
      <c r="H92" s="1">
        <v>2777</v>
      </c>
      <c r="I92" s="2">
        <v>0.51239999999999997</v>
      </c>
      <c r="J92" s="1">
        <v>10627</v>
      </c>
      <c r="K92" s="3">
        <v>1.5509259259259259E-3</v>
      </c>
      <c r="L92" s="3">
        <f t="shared" si="10"/>
        <v>3.8267915016204537</v>
      </c>
      <c r="M92" s="5">
        <v>0.11</v>
      </c>
      <c r="N92">
        <v>3</v>
      </c>
      <c r="O92" s="7">
        <v>333</v>
      </c>
      <c r="P92">
        <v>5</v>
      </c>
      <c r="Q92" s="10">
        <f t="shared" si="11"/>
        <v>26.894865525672373</v>
      </c>
      <c r="R92" s="6">
        <f t="shared" si="12"/>
        <v>0.16283618581907092</v>
      </c>
      <c r="S92" s="6">
        <f t="shared" si="13"/>
        <v>0.11991357580122435</v>
      </c>
      <c r="T92" s="6">
        <f t="shared" si="14"/>
        <v>111</v>
      </c>
      <c r="U92" s="10">
        <f t="shared" si="15"/>
        <v>9.0909090909090917</v>
      </c>
      <c r="V92" s="6"/>
      <c r="W92" s="6"/>
    </row>
    <row r="93" spans="1:23" x14ac:dyDescent="0.25">
      <c r="A93" t="s">
        <v>25</v>
      </c>
      <c r="B93">
        <v>2019</v>
      </c>
      <c r="C93" s="4">
        <f t="shared" si="8"/>
        <v>43800</v>
      </c>
      <c r="D93">
        <v>12</v>
      </c>
      <c r="E93" s="1">
        <v>2202</v>
      </c>
      <c r="F93" s="1">
        <v>1439</v>
      </c>
      <c r="G93" s="1">
        <f t="shared" si="9"/>
        <v>763</v>
      </c>
      <c r="H93" s="1">
        <v>2714</v>
      </c>
      <c r="I93" s="2">
        <v>0.52470000000000006</v>
      </c>
      <c r="J93" s="1">
        <v>8588</v>
      </c>
      <c r="K93" s="3">
        <v>1.4120370370370369E-3</v>
      </c>
      <c r="L93" s="3">
        <f t="shared" si="10"/>
        <v>3.1643330876934415</v>
      </c>
      <c r="M93" s="5">
        <v>0.26</v>
      </c>
      <c r="N93">
        <v>7</v>
      </c>
      <c r="O93" s="7">
        <v>1242</v>
      </c>
      <c r="P93">
        <v>12</v>
      </c>
      <c r="Q93" s="10">
        <f t="shared" si="11"/>
        <v>34.650317892824702</v>
      </c>
      <c r="R93" s="6">
        <f t="shared" si="12"/>
        <v>0.56403269754768393</v>
      </c>
      <c r="S93" s="6">
        <f t="shared" si="13"/>
        <v>0.4576271186440678</v>
      </c>
      <c r="T93" s="6">
        <f t="shared" si="14"/>
        <v>177.42857142857142</v>
      </c>
      <c r="U93" s="10">
        <f t="shared" si="15"/>
        <v>3.8461538461538458</v>
      </c>
      <c r="V93" s="6"/>
      <c r="W93" s="6"/>
    </row>
    <row r="94" spans="1:23" x14ac:dyDescent="0.25">
      <c r="A94" t="s">
        <v>28</v>
      </c>
      <c r="B94">
        <v>2020</v>
      </c>
      <c r="C94" s="4">
        <f t="shared" si="8"/>
        <v>43862</v>
      </c>
      <c r="D94">
        <v>2</v>
      </c>
      <c r="E94" s="1">
        <v>2355</v>
      </c>
      <c r="F94" s="1">
        <v>1800</v>
      </c>
      <c r="G94" s="1">
        <f t="shared" si="9"/>
        <v>555</v>
      </c>
      <c r="H94" s="1">
        <v>2637</v>
      </c>
      <c r="I94" s="2">
        <v>0.73</v>
      </c>
      <c r="J94" s="1">
        <v>5229</v>
      </c>
      <c r="K94" s="3">
        <v>9.4907407407407408E-4</v>
      </c>
      <c r="L94" s="3">
        <f t="shared" si="10"/>
        <v>1.9829351535836177</v>
      </c>
      <c r="M94" s="5">
        <v>0.42</v>
      </c>
      <c r="N94">
        <v>11</v>
      </c>
      <c r="O94" s="7">
        <v>1863</v>
      </c>
      <c r="P94">
        <v>17</v>
      </c>
      <c r="Q94" s="10">
        <f t="shared" si="11"/>
        <v>23.566878980891719</v>
      </c>
      <c r="R94" s="6">
        <f t="shared" si="12"/>
        <v>0.79108280254777075</v>
      </c>
      <c r="S94" s="6">
        <f t="shared" si="13"/>
        <v>0.70648464163822522</v>
      </c>
      <c r="T94" s="6">
        <f t="shared" si="14"/>
        <v>169.36363636363637</v>
      </c>
      <c r="U94" s="10">
        <f t="shared" si="15"/>
        <v>2.3809523809523809</v>
      </c>
      <c r="V94" s="6"/>
      <c r="W94" s="6"/>
    </row>
    <row r="95" spans="1:23" x14ac:dyDescent="0.25">
      <c r="A95" t="s">
        <v>29</v>
      </c>
      <c r="B95">
        <v>2020</v>
      </c>
      <c r="C95" s="4">
        <f t="shared" si="8"/>
        <v>43831</v>
      </c>
      <c r="D95">
        <v>1</v>
      </c>
      <c r="E95" s="1">
        <v>1884</v>
      </c>
      <c r="F95" s="1">
        <v>1298</v>
      </c>
      <c r="G95" s="1">
        <f t="shared" si="9"/>
        <v>586</v>
      </c>
      <c r="H95" s="1">
        <v>2624</v>
      </c>
      <c r="I95" s="2">
        <v>0.47599999999999998</v>
      </c>
      <c r="J95" s="1">
        <v>11183</v>
      </c>
      <c r="K95" s="3">
        <v>2.0833333333333333E-3</v>
      </c>
      <c r="L95" s="3">
        <f t="shared" si="10"/>
        <v>4.2618140243902438</v>
      </c>
      <c r="M95" s="5">
        <v>0.42</v>
      </c>
      <c r="N95">
        <v>11</v>
      </c>
      <c r="O95" s="7">
        <v>1515</v>
      </c>
      <c r="P95">
        <v>20</v>
      </c>
      <c r="Q95" s="10">
        <f t="shared" si="11"/>
        <v>31.104033970276006</v>
      </c>
      <c r="R95" s="6">
        <f t="shared" si="12"/>
        <v>0.80414012738853502</v>
      </c>
      <c r="S95" s="6">
        <f t="shared" si="13"/>
        <v>0.57736280487804881</v>
      </c>
      <c r="T95" s="6">
        <f t="shared" si="14"/>
        <v>137.72727272727272</v>
      </c>
      <c r="U95" s="10">
        <f t="shared" si="15"/>
        <v>2.3809523809523809</v>
      </c>
      <c r="V95" s="6"/>
      <c r="W95" s="6"/>
    </row>
    <row r="96" spans="1:23" x14ac:dyDescent="0.25">
      <c r="A96" t="s">
        <v>29</v>
      </c>
      <c r="B96">
        <v>2020</v>
      </c>
      <c r="C96" s="4">
        <f t="shared" si="8"/>
        <v>43922</v>
      </c>
      <c r="D96">
        <v>4</v>
      </c>
      <c r="E96" s="1">
        <v>1688</v>
      </c>
      <c r="F96" s="1">
        <v>1268</v>
      </c>
      <c r="G96" s="1">
        <f t="shared" si="9"/>
        <v>420</v>
      </c>
      <c r="H96" s="1">
        <v>2537</v>
      </c>
      <c r="I96" s="2">
        <v>0.52980000000000005</v>
      </c>
      <c r="J96" s="1">
        <v>9793</v>
      </c>
      <c r="K96" s="3">
        <v>2.2337962962962962E-3</v>
      </c>
      <c r="L96" s="3">
        <f t="shared" si="10"/>
        <v>3.8600709499408752</v>
      </c>
      <c r="M96" s="5">
        <v>0.2</v>
      </c>
      <c r="N96">
        <v>5</v>
      </c>
      <c r="O96" s="7">
        <v>1005</v>
      </c>
      <c r="P96">
        <v>9</v>
      </c>
      <c r="Q96" s="10">
        <f t="shared" si="11"/>
        <v>24.881516587677723</v>
      </c>
      <c r="R96" s="6">
        <f t="shared" si="12"/>
        <v>0.59537914691943128</v>
      </c>
      <c r="S96" s="6">
        <f t="shared" si="13"/>
        <v>0.39613716988569175</v>
      </c>
      <c r="T96" s="6">
        <f t="shared" si="14"/>
        <v>201</v>
      </c>
      <c r="U96" s="10">
        <f t="shared" si="15"/>
        <v>5</v>
      </c>
      <c r="V96" s="6"/>
      <c r="W96" s="6"/>
    </row>
    <row r="97" spans="1:23" x14ac:dyDescent="0.25">
      <c r="A97" t="s">
        <v>30</v>
      </c>
      <c r="B97">
        <v>2020</v>
      </c>
      <c r="C97" s="4">
        <f t="shared" si="8"/>
        <v>43952</v>
      </c>
      <c r="D97">
        <v>5</v>
      </c>
      <c r="E97" s="1">
        <v>1188</v>
      </c>
      <c r="F97">
        <v>585</v>
      </c>
      <c r="G97" s="1">
        <f t="shared" si="9"/>
        <v>603</v>
      </c>
      <c r="H97" s="1">
        <v>2466</v>
      </c>
      <c r="I97" s="2">
        <v>0.25430000000000003</v>
      </c>
      <c r="J97" s="1">
        <v>7721</v>
      </c>
      <c r="K97" s="3">
        <v>2.8819444444444444E-3</v>
      </c>
      <c r="L97" s="3">
        <f t="shared" si="10"/>
        <v>3.1309813463098135</v>
      </c>
      <c r="M97" s="5">
        <v>31.75</v>
      </c>
      <c r="N97">
        <v>783</v>
      </c>
      <c r="O97" s="7">
        <v>130744</v>
      </c>
      <c r="P97" s="1">
        <v>1927</v>
      </c>
      <c r="Q97" s="10">
        <f t="shared" si="11"/>
        <v>50.757575757575758</v>
      </c>
      <c r="R97" s="6">
        <f t="shared" si="12"/>
        <v>110.05387205387206</v>
      </c>
      <c r="S97" s="6">
        <f t="shared" si="13"/>
        <v>53.01865369018654</v>
      </c>
      <c r="T97" s="6">
        <f t="shared" si="14"/>
        <v>166.97828863346103</v>
      </c>
      <c r="U97" s="10">
        <f t="shared" si="15"/>
        <v>3.1496062992125984E-2</v>
      </c>
      <c r="V97" s="6"/>
      <c r="W97" s="6"/>
    </row>
    <row r="98" spans="1:23" x14ac:dyDescent="0.25">
      <c r="A98" t="s">
        <v>27</v>
      </c>
      <c r="B98">
        <v>2020</v>
      </c>
      <c r="C98" s="4">
        <f t="shared" si="8"/>
        <v>44013</v>
      </c>
      <c r="D98">
        <v>7</v>
      </c>
      <c r="E98">
        <v>946</v>
      </c>
      <c r="F98">
        <v>20</v>
      </c>
      <c r="G98" s="1">
        <f t="shared" si="9"/>
        <v>926</v>
      </c>
      <c r="H98" s="1">
        <v>2424</v>
      </c>
      <c r="I98" s="2">
        <v>0.74590000000000001</v>
      </c>
      <c r="J98" s="1">
        <v>5082</v>
      </c>
      <c r="K98" s="3">
        <v>1.2152777777777778E-3</v>
      </c>
      <c r="L98" s="3">
        <f t="shared" si="10"/>
        <v>2.0965346534653464</v>
      </c>
      <c r="M98" s="5">
        <v>0.12</v>
      </c>
      <c r="N98">
        <v>3</v>
      </c>
      <c r="O98" s="7">
        <v>277</v>
      </c>
      <c r="P98">
        <v>7</v>
      </c>
      <c r="Q98" s="10">
        <f t="shared" si="11"/>
        <v>97.885835095137423</v>
      </c>
      <c r="R98" s="6">
        <f t="shared" si="12"/>
        <v>0.29281183932346722</v>
      </c>
      <c r="S98" s="6">
        <f t="shared" si="13"/>
        <v>0.11427392739273927</v>
      </c>
      <c r="T98" s="6">
        <f t="shared" si="14"/>
        <v>92.333333333333329</v>
      </c>
      <c r="U98" s="10">
        <f t="shared" si="15"/>
        <v>8.3333333333333339</v>
      </c>
      <c r="V98" s="6"/>
      <c r="W98" s="6"/>
    </row>
    <row r="99" spans="1:23" hidden="1" x14ac:dyDescent="0.25">
      <c r="A99" t="s">
        <v>16</v>
      </c>
      <c r="B99">
        <v>2020</v>
      </c>
      <c r="C99" s="4">
        <f t="shared" si="8"/>
        <v>43922</v>
      </c>
      <c r="D99">
        <v>4</v>
      </c>
      <c r="E99" s="1">
        <v>1965</v>
      </c>
      <c r="F99" s="1">
        <v>1886</v>
      </c>
      <c r="G99" s="1">
        <f t="shared" si="9"/>
        <v>79</v>
      </c>
      <c r="H99" s="1">
        <v>2317</v>
      </c>
      <c r="I99" s="2">
        <v>0.83250000000000002</v>
      </c>
      <c r="J99" s="1">
        <v>3173</v>
      </c>
      <c r="K99" s="3">
        <v>4.6296296296296298E-4</v>
      </c>
      <c r="L99" s="3">
        <f t="shared" si="10"/>
        <v>1.369443245576176</v>
      </c>
      <c r="M99" s="5">
        <v>0</v>
      </c>
      <c r="N99">
        <v>0</v>
      </c>
      <c r="O99" s="7">
        <v>0</v>
      </c>
      <c r="P99">
        <v>0</v>
      </c>
      <c r="Q99" s="10">
        <f t="shared" si="11"/>
        <v>4.0203562340966918</v>
      </c>
      <c r="R99" s="6">
        <f t="shared" si="12"/>
        <v>0</v>
      </c>
      <c r="S99" s="6">
        <f t="shared" si="13"/>
        <v>0</v>
      </c>
      <c r="T99" s="6" t="e">
        <f t="shared" si="14"/>
        <v>#DIV/0!</v>
      </c>
      <c r="U99" s="10" t="e">
        <f t="shared" si="15"/>
        <v>#DIV/0!</v>
      </c>
      <c r="V99" s="6">
        <f>SUMIF(B99:B344,2019,F99:F344)</f>
        <v>14345</v>
      </c>
      <c r="W99" s="6">
        <f>AVERAGEIF($B$2:$B$247,2019,$M$2:$M$247)</f>
        <v>2.9876404494382021</v>
      </c>
    </row>
    <row r="100" spans="1:23" x14ac:dyDescent="0.25">
      <c r="A100" t="s">
        <v>29</v>
      </c>
      <c r="B100">
        <v>2020</v>
      </c>
      <c r="C100" s="4">
        <f t="shared" si="8"/>
        <v>43862</v>
      </c>
      <c r="D100">
        <v>2</v>
      </c>
      <c r="E100" s="1">
        <v>1682</v>
      </c>
      <c r="F100" s="1">
        <v>1212</v>
      </c>
      <c r="G100" s="1">
        <f t="shared" si="9"/>
        <v>470</v>
      </c>
      <c r="H100" s="1">
        <v>2274</v>
      </c>
      <c r="I100" s="2">
        <v>0.49819999999999998</v>
      </c>
      <c r="J100" s="1">
        <v>9928</v>
      </c>
      <c r="K100" s="3">
        <v>2.5347222222222221E-3</v>
      </c>
      <c r="L100" s="3">
        <f t="shared" si="10"/>
        <v>4.3658751099384343</v>
      </c>
      <c r="M100" s="5">
        <v>0.48</v>
      </c>
      <c r="N100">
        <v>11</v>
      </c>
      <c r="O100" s="7">
        <v>2198</v>
      </c>
      <c r="P100">
        <v>23</v>
      </c>
      <c r="Q100" s="10">
        <f t="shared" si="11"/>
        <v>27.94292508917955</v>
      </c>
      <c r="R100" s="6">
        <f t="shared" si="12"/>
        <v>1.3067776456599287</v>
      </c>
      <c r="S100" s="6">
        <f t="shared" si="13"/>
        <v>0.96657871591908529</v>
      </c>
      <c r="T100" s="6">
        <f t="shared" si="14"/>
        <v>199.81818181818181</v>
      </c>
      <c r="U100" s="10">
        <f t="shared" si="15"/>
        <v>2.0833333333333335</v>
      </c>
      <c r="V100" s="6"/>
      <c r="W100" s="6"/>
    </row>
    <row r="101" spans="1:23" hidden="1" x14ac:dyDescent="0.25">
      <c r="A101" t="s">
        <v>26</v>
      </c>
      <c r="B101">
        <v>2020</v>
      </c>
      <c r="C101" s="4">
        <f t="shared" si="8"/>
        <v>43922</v>
      </c>
      <c r="D101">
        <v>4</v>
      </c>
      <c r="E101" s="1">
        <v>2091</v>
      </c>
      <c r="F101" s="1">
        <v>2072</v>
      </c>
      <c r="G101" s="1">
        <f t="shared" si="9"/>
        <v>19</v>
      </c>
      <c r="H101" s="1">
        <v>2235</v>
      </c>
      <c r="I101" s="2">
        <v>0.85680000000000001</v>
      </c>
      <c r="J101" s="1">
        <v>3321</v>
      </c>
      <c r="K101" s="3">
        <v>3.0092592592592595E-4</v>
      </c>
      <c r="L101" s="3">
        <f t="shared" si="10"/>
        <v>1.4859060402684563</v>
      </c>
      <c r="M101" s="5">
        <v>0</v>
      </c>
      <c r="N101">
        <v>0</v>
      </c>
      <c r="O101" s="7">
        <v>0</v>
      </c>
      <c r="P101">
        <v>0</v>
      </c>
      <c r="Q101" s="10">
        <f t="shared" si="11"/>
        <v>0.90865614538498329</v>
      </c>
      <c r="R101" s="6">
        <f t="shared" si="12"/>
        <v>0</v>
      </c>
      <c r="S101" s="6">
        <f t="shared" si="13"/>
        <v>0</v>
      </c>
      <c r="T101" s="6" t="e">
        <f t="shared" si="14"/>
        <v>#DIV/0!</v>
      </c>
      <c r="U101" s="10" t="e">
        <f t="shared" si="15"/>
        <v>#DIV/0!</v>
      </c>
      <c r="V101" s="6">
        <f>SUMIF(B101:B346,2019,F101:F346)</f>
        <v>14345</v>
      </c>
      <c r="W101" s="6">
        <f>AVERAGEIF($B$2:$B$247,2019,$M$2:$M$247)</f>
        <v>2.9876404494382021</v>
      </c>
    </row>
    <row r="102" spans="1:23" x14ac:dyDescent="0.25">
      <c r="A102" t="s">
        <v>28</v>
      </c>
      <c r="B102">
        <v>2019</v>
      </c>
      <c r="C102" s="4">
        <f t="shared" si="8"/>
        <v>43800</v>
      </c>
      <c r="D102">
        <v>12</v>
      </c>
      <c r="E102" s="1">
        <v>1944</v>
      </c>
      <c r="F102" s="1">
        <v>1528</v>
      </c>
      <c r="G102" s="1">
        <f t="shared" si="9"/>
        <v>416</v>
      </c>
      <c r="H102" s="1">
        <v>2164</v>
      </c>
      <c r="I102" s="2">
        <v>0.70889999999999997</v>
      </c>
      <c r="J102" s="1">
        <v>4480</v>
      </c>
      <c r="K102" s="3">
        <v>8.6805555555555551E-4</v>
      </c>
      <c r="L102" s="3">
        <f t="shared" si="10"/>
        <v>2.0702402957486137</v>
      </c>
      <c r="M102" s="5">
        <v>0.23</v>
      </c>
      <c r="N102">
        <v>5</v>
      </c>
      <c r="O102" s="7">
        <v>644</v>
      </c>
      <c r="P102">
        <v>5</v>
      </c>
      <c r="Q102" s="10">
        <f t="shared" si="11"/>
        <v>21.399176954732511</v>
      </c>
      <c r="R102" s="6">
        <f t="shared" si="12"/>
        <v>0.33127572016460904</v>
      </c>
      <c r="S102" s="6">
        <f t="shared" si="13"/>
        <v>0.29759704251386321</v>
      </c>
      <c r="T102" s="6">
        <f t="shared" si="14"/>
        <v>128.80000000000001</v>
      </c>
      <c r="U102" s="10">
        <f t="shared" si="15"/>
        <v>4.3478260869565215</v>
      </c>
      <c r="V102" s="6"/>
      <c r="W102" s="6"/>
    </row>
    <row r="103" spans="1:23" x14ac:dyDescent="0.25">
      <c r="A103" t="s">
        <v>25</v>
      </c>
      <c r="B103">
        <v>2020</v>
      </c>
      <c r="C103" s="4">
        <f t="shared" si="8"/>
        <v>43952</v>
      </c>
      <c r="D103">
        <v>5</v>
      </c>
      <c r="E103" s="1">
        <v>1724</v>
      </c>
      <c r="F103" s="1">
        <v>1011</v>
      </c>
      <c r="G103" s="1">
        <f t="shared" si="9"/>
        <v>713</v>
      </c>
      <c r="H103" s="1">
        <v>2089</v>
      </c>
      <c r="I103" s="2">
        <v>0.5615</v>
      </c>
      <c r="J103" s="1">
        <v>8703</v>
      </c>
      <c r="K103" s="3">
        <v>1.9212962962962964E-3</v>
      </c>
      <c r="L103" s="3">
        <f t="shared" si="10"/>
        <v>4.1661081857348012</v>
      </c>
      <c r="M103" s="5">
        <v>1.29</v>
      </c>
      <c r="N103">
        <v>27</v>
      </c>
      <c r="O103" s="7">
        <v>3759</v>
      </c>
      <c r="P103">
        <v>43</v>
      </c>
      <c r="Q103" s="10">
        <f t="shared" si="11"/>
        <v>41.357308584686777</v>
      </c>
      <c r="R103" s="6">
        <f t="shared" si="12"/>
        <v>2.1803944315545243</v>
      </c>
      <c r="S103" s="6">
        <f t="shared" si="13"/>
        <v>1.7994255624700815</v>
      </c>
      <c r="T103" s="6">
        <f t="shared" si="14"/>
        <v>139.22222222222223</v>
      </c>
      <c r="U103" s="10">
        <f t="shared" si="15"/>
        <v>0.77519379844961234</v>
      </c>
      <c r="V103" s="6"/>
      <c r="W103" s="6"/>
    </row>
    <row r="104" spans="1:23" x14ac:dyDescent="0.25">
      <c r="A104" t="s">
        <v>25</v>
      </c>
      <c r="B104">
        <v>2020</v>
      </c>
      <c r="C104" s="4">
        <f t="shared" si="8"/>
        <v>43983</v>
      </c>
      <c r="D104">
        <v>6</v>
      </c>
      <c r="E104" s="1">
        <v>1801</v>
      </c>
      <c r="F104" s="1">
        <v>1072</v>
      </c>
      <c r="G104" s="1">
        <f t="shared" si="9"/>
        <v>729</v>
      </c>
      <c r="H104" s="1">
        <v>2065</v>
      </c>
      <c r="I104" s="2">
        <v>0.45710000000000001</v>
      </c>
      <c r="J104" s="1">
        <v>10277</v>
      </c>
      <c r="K104" s="3">
        <v>2.0254629629629629E-3</v>
      </c>
      <c r="L104" s="3">
        <f t="shared" si="10"/>
        <v>4.9767554479418887</v>
      </c>
      <c r="M104" s="5">
        <v>2.76</v>
      </c>
      <c r="N104">
        <v>57</v>
      </c>
      <c r="O104" s="7">
        <v>7728</v>
      </c>
      <c r="P104">
        <v>117</v>
      </c>
      <c r="Q104" s="10">
        <f t="shared" si="11"/>
        <v>40.477512493059407</v>
      </c>
      <c r="R104" s="6">
        <f t="shared" si="12"/>
        <v>4.290949472515269</v>
      </c>
      <c r="S104" s="6">
        <f t="shared" si="13"/>
        <v>3.7423728813559323</v>
      </c>
      <c r="T104" s="6">
        <f t="shared" si="14"/>
        <v>135.57894736842104</v>
      </c>
      <c r="U104" s="10">
        <f t="shared" si="15"/>
        <v>0.3623188405797102</v>
      </c>
      <c r="V104" s="6"/>
      <c r="W104" s="6"/>
    </row>
    <row r="105" spans="1:23" x14ac:dyDescent="0.25">
      <c r="A105" t="s">
        <v>30</v>
      </c>
      <c r="B105">
        <v>2020</v>
      </c>
      <c r="C105" s="4">
        <f t="shared" si="8"/>
        <v>43922</v>
      </c>
      <c r="D105">
        <v>4</v>
      </c>
      <c r="E105">
        <v>991</v>
      </c>
      <c r="F105">
        <v>595</v>
      </c>
      <c r="G105" s="1">
        <f t="shared" si="9"/>
        <v>396</v>
      </c>
      <c r="H105" s="1">
        <v>2012</v>
      </c>
      <c r="I105" s="2">
        <v>0.1759</v>
      </c>
      <c r="J105" s="1">
        <v>6184</v>
      </c>
      <c r="K105" s="3">
        <v>3.1828703703703702E-3</v>
      </c>
      <c r="L105" s="3">
        <f t="shared" si="10"/>
        <v>3.0735586481113319</v>
      </c>
      <c r="M105" s="5">
        <v>36.18</v>
      </c>
      <c r="N105">
        <v>728</v>
      </c>
      <c r="O105" s="7">
        <v>112265</v>
      </c>
      <c r="P105" s="1">
        <v>1504</v>
      </c>
      <c r="Q105" s="10">
        <f t="shared" si="11"/>
        <v>39.959636730575177</v>
      </c>
      <c r="R105" s="6">
        <f t="shared" si="12"/>
        <v>113.284561049445</v>
      </c>
      <c r="S105" s="6">
        <f t="shared" si="13"/>
        <v>55.797713717693838</v>
      </c>
      <c r="T105" s="6">
        <f t="shared" si="14"/>
        <v>154.21016483516485</v>
      </c>
      <c r="U105" s="10">
        <f t="shared" si="15"/>
        <v>2.7639579878385848E-2</v>
      </c>
      <c r="V105" s="6"/>
      <c r="W105" s="6"/>
    </row>
    <row r="106" spans="1:23" x14ac:dyDescent="0.25">
      <c r="A106" t="s">
        <v>28</v>
      </c>
      <c r="B106">
        <v>2020</v>
      </c>
      <c r="C106" s="4">
        <f t="shared" si="8"/>
        <v>43891</v>
      </c>
      <c r="D106">
        <v>3</v>
      </c>
      <c r="E106" s="1">
        <v>1567</v>
      </c>
      <c r="F106" s="1">
        <v>1183</v>
      </c>
      <c r="G106" s="1">
        <f t="shared" si="9"/>
        <v>384</v>
      </c>
      <c r="H106" s="1">
        <v>1795</v>
      </c>
      <c r="I106" s="2">
        <v>0.71309999999999996</v>
      </c>
      <c r="J106" s="1">
        <v>3616</v>
      </c>
      <c r="K106" s="3">
        <v>1.0416666666666667E-3</v>
      </c>
      <c r="L106" s="3">
        <f t="shared" si="10"/>
        <v>2.0144846796657383</v>
      </c>
      <c r="M106" s="5">
        <v>0.39</v>
      </c>
      <c r="N106">
        <v>7</v>
      </c>
      <c r="O106" s="7">
        <v>1331</v>
      </c>
      <c r="P106">
        <v>7</v>
      </c>
      <c r="Q106" s="10">
        <f t="shared" si="11"/>
        <v>24.505424377791961</v>
      </c>
      <c r="R106" s="6">
        <f t="shared" si="12"/>
        <v>0.84939374601148687</v>
      </c>
      <c r="S106" s="6">
        <f t="shared" si="13"/>
        <v>0.74150417827298054</v>
      </c>
      <c r="T106" s="6">
        <f t="shared" si="14"/>
        <v>190.14285714285714</v>
      </c>
      <c r="U106" s="10">
        <f t="shared" si="15"/>
        <v>2.5641025641025639</v>
      </c>
      <c r="V106" s="6"/>
      <c r="W106" s="6"/>
    </row>
    <row r="107" spans="1:23" x14ac:dyDescent="0.25">
      <c r="A107" t="s">
        <v>22</v>
      </c>
      <c r="B107">
        <v>2020</v>
      </c>
      <c r="C107" s="4">
        <f t="shared" si="8"/>
        <v>44044</v>
      </c>
      <c r="D107">
        <v>8</v>
      </c>
      <c r="E107" s="1">
        <v>1698</v>
      </c>
      <c r="F107" s="1">
        <v>1423</v>
      </c>
      <c r="G107" s="1">
        <f t="shared" si="9"/>
        <v>275</v>
      </c>
      <c r="H107" s="1">
        <v>1774</v>
      </c>
      <c r="I107" s="2">
        <v>0.58960000000000001</v>
      </c>
      <c r="J107" s="1">
        <v>4714</v>
      </c>
      <c r="K107" s="3">
        <v>8.4490740740740739E-4</v>
      </c>
      <c r="L107" s="3">
        <f t="shared" si="10"/>
        <v>2.657271702367531</v>
      </c>
      <c r="M107" s="5">
        <v>0.23</v>
      </c>
      <c r="N107">
        <v>4</v>
      </c>
      <c r="O107" s="7">
        <v>489</v>
      </c>
      <c r="P107">
        <v>5</v>
      </c>
      <c r="Q107" s="10">
        <f t="shared" si="11"/>
        <v>16.195524146054183</v>
      </c>
      <c r="R107" s="6">
        <f t="shared" si="12"/>
        <v>0.28798586572438162</v>
      </c>
      <c r="S107" s="6">
        <f t="shared" si="13"/>
        <v>0.27564825253664038</v>
      </c>
      <c r="T107" s="6">
        <f t="shared" si="14"/>
        <v>122.25</v>
      </c>
      <c r="U107" s="10">
        <f t="shared" si="15"/>
        <v>4.3478260869565215</v>
      </c>
      <c r="V107" s="6"/>
      <c r="W107" s="6"/>
    </row>
    <row r="108" spans="1:23" hidden="1" x14ac:dyDescent="0.25">
      <c r="A108" t="s">
        <v>16</v>
      </c>
      <c r="B108">
        <v>2020</v>
      </c>
      <c r="C108" s="4">
        <f t="shared" si="8"/>
        <v>44044</v>
      </c>
      <c r="D108">
        <v>8</v>
      </c>
      <c r="E108">
        <v>698</v>
      </c>
      <c r="F108">
        <v>414</v>
      </c>
      <c r="G108" s="1">
        <f t="shared" si="9"/>
        <v>284</v>
      </c>
      <c r="H108" s="1">
        <v>1693</v>
      </c>
      <c r="I108" s="2">
        <v>0.87709999999999999</v>
      </c>
      <c r="J108" s="1">
        <v>1988</v>
      </c>
      <c r="K108" s="3">
        <v>7.5231481481481482E-4</v>
      </c>
      <c r="L108" s="3">
        <f t="shared" si="10"/>
        <v>1.1742468989958654</v>
      </c>
      <c r="M108" s="5">
        <v>0</v>
      </c>
      <c r="N108">
        <v>0</v>
      </c>
      <c r="O108" s="7">
        <v>0</v>
      </c>
      <c r="P108">
        <v>0</v>
      </c>
      <c r="Q108" s="10">
        <f t="shared" si="11"/>
        <v>40.687679083094558</v>
      </c>
      <c r="R108" s="6">
        <f t="shared" si="12"/>
        <v>0</v>
      </c>
      <c r="S108" s="6">
        <f t="shared" si="13"/>
        <v>0</v>
      </c>
      <c r="T108" s="6" t="e">
        <f t="shared" si="14"/>
        <v>#DIV/0!</v>
      </c>
      <c r="U108" s="10" t="e">
        <f t="shared" si="15"/>
        <v>#DIV/0!</v>
      </c>
      <c r="V108" s="6">
        <f>SUMIF(B108:B353,2019,F108:F353)</f>
        <v>12817</v>
      </c>
      <c r="W108" s="6">
        <f>AVERAGEIF($B$2:$B$247,2019,$M$2:$M$247)</f>
        <v>2.9876404494382021</v>
      </c>
    </row>
    <row r="109" spans="1:23" x14ac:dyDescent="0.25">
      <c r="A109" t="s">
        <v>29</v>
      </c>
      <c r="B109">
        <v>2019</v>
      </c>
      <c r="C109" s="4">
        <f t="shared" si="8"/>
        <v>43770</v>
      </c>
      <c r="D109">
        <v>11</v>
      </c>
      <c r="E109" s="1">
        <v>1282</v>
      </c>
      <c r="F109">
        <v>838</v>
      </c>
      <c r="G109" s="1">
        <f t="shared" si="9"/>
        <v>444</v>
      </c>
      <c r="H109" s="1">
        <v>1683</v>
      </c>
      <c r="I109" s="2">
        <v>0.50270000000000004</v>
      </c>
      <c r="J109" s="1">
        <v>7043</v>
      </c>
      <c r="K109" s="3">
        <v>1.9212962962962964E-3</v>
      </c>
      <c r="L109" s="3">
        <f t="shared" si="10"/>
        <v>4.1847890671420087</v>
      </c>
      <c r="M109" s="5">
        <v>0.12</v>
      </c>
      <c r="N109">
        <v>2</v>
      </c>
      <c r="O109" s="7">
        <v>697</v>
      </c>
      <c r="P109">
        <v>4</v>
      </c>
      <c r="Q109" s="10">
        <f t="shared" si="11"/>
        <v>34.633385335413422</v>
      </c>
      <c r="R109" s="6">
        <f t="shared" si="12"/>
        <v>0.54368174726989082</v>
      </c>
      <c r="S109" s="6">
        <f t="shared" si="13"/>
        <v>0.41414141414141414</v>
      </c>
      <c r="T109" s="6">
        <f t="shared" si="14"/>
        <v>348.5</v>
      </c>
      <c r="U109" s="10">
        <f t="shared" si="15"/>
        <v>8.3333333333333339</v>
      </c>
      <c r="V109" s="6"/>
      <c r="W109" s="6"/>
    </row>
    <row r="110" spans="1:23" x14ac:dyDescent="0.25">
      <c r="A110" t="s">
        <v>31</v>
      </c>
      <c r="B110">
        <v>2020</v>
      </c>
      <c r="C110" s="4">
        <f t="shared" si="8"/>
        <v>43983</v>
      </c>
      <c r="D110">
        <v>6</v>
      </c>
      <c r="E110">
        <v>888</v>
      </c>
      <c r="F110">
        <v>472</v>
      </c>
      <c r="G110" s="1">
        <f t="shared" si="9"/>
        <v>416</v>
      </c>
      <c r="H110" s="1">
        <v>1633</v>
      </c>
      <c r="I110" s="2">
        <v>0.35699999999999998</v>
      </c>
      <c r="J110" s="1">
        <v>9451</v>
      </c>
      <c r="K110" s="3">
        <v>3.4027777777777776E-3</v>
      </c>
      <c r="L110" s="3">
        <f t="shared" si="10"/>
        <v>5.7875076546233926</v>
      </c>
      <c r="M110" s="5">
        <v>0.86</v>
      </c>
      <c r="N110">
        <v>14</v>
      </c>
      <c r="O110" s="7">
        <v>1758</v>
      </c>
      <c r="P110">
        <v>25</v>
      </c>
      <c r="Q110" s="10">
        <f t="shared" si="11"/>
        <v>46.846846846846844</v>
      </c>
      <c r="R110" s="6">
        <f t="shared" si="12"/>
        <v>1.9797297297297298</v>
      </c>
      <c r="S110" s="6">
        <f t="shared" si="13"/>
        <v>1.0765462339252909</v>
      </c>
      <c r="T110" s="6">
        <f t="shared" si="14"/>
        <v>125.57142857142857</v>
      </c>
      <c r="U110" s="10">
        <f t="shared" si="15"/>
        <v>1.1627906976744187</v>
      </c>
      <c r="V110" s="6"/>
      <c r="W110" s="6"/>
    </row>
    <row r="111" spans="1:23" x14ac:dyDescent="0.25">
      <c r="A111" t="s">
        <v>31</v>
      </c>
      <c r="B111">
        <v>2020</v>
      </c>
      <c r="C111" s="4">
        <f t="shared" si="8"/>
        <v>44013</v>
      </c>
      <c r="D111">
        <v>7</v>
      </c>
      <c r="E111">
        <v>865</v>
      </c>
      <c r="F111">
        <v>493</v>
      </c>
      <c r="G111" s="1">
        <f t="shared" si="9"/>
        <v>372</v>
      </c>
      <c r="H111" s="1">
        <v>1628</v>
      </c>
      <c r="I111" s="2">
        <v>0.40789999999999998</v>
      </c>
      <c r="J111" s="1">
        <v>8510</v>
      </c>
      <c r="K111" s="3">
        <v>3.3217592592592591E-3</v>
      </c>
      <c r="L111" s="3">
        <f t="shared" si="10"/>
        <v>5.2272727272727275</v>
      </c>
      <c r="M111" s="5">
        <v>0.61</v>
      </c>
      <c r="N111">
        <v>10</v>
      </c>
      <c r="O111" s="7">
        <v>1416</v>
      </c>
      <c r="P111">
        <v>23</v>
      </c>
      <c r="Q111" s="10">
        <f t="shared" si="11"/>
        <v>43.005780346820814</v>
      </c>
      <c r="R111" s="6">
        <f t="shared" si="12"/>
        <v>1.6369942196531793</v>
      </c>
      <c r="S111" s="6">
        <f t="shared" si="13"/>
        <v>0.86977886977886976</v>
      </c>
      <c r="T111" s="6">
        <f t="shared" si="14"/>
        <v>141.6</v>
      </c>
      <c r="U111" s="10">
        <f t="shared" si="15"/>
        <v>1.639344262295082</v>
      </c>
      <c r="V111" s="6"/>
      <c r="W111" s="6"/>
    </row>
    <row r="112" spans="1:23" x14ac:dyDescent="0.25">
      <c r="A112" t="s">
        <v>28</v>
      </c>
      <c r="B112">
        <v>2020</v>
      </c>
      <c r="C112" s="4">
        <f t="shared" si="8"/>
        <v>43922</v>
      </c>
      <c r="D112">
        <v>4</v>
      </c>
      <c r="E112" s="1">
        <v>1407</v>
      </c>
      <c r="F112" s="1">
        <v>1121</v>
      </c>
      <c r="G112" s="1">
        <f t="shared" si="9"/>
        <v>286</v>
      </c>
      <c r="H112" s="1">
        <v>1589</v>
      </c>
      <c r="I112" s="2">
        <v>0.65139999999999998</v>
      </c>
      <c r="J112" s="1">
        <v>4272</v>
      </c>
      <c r="K112" s="3">
        <v>1.4467592592592592E-3</v>
      </c>
      <c r="L112" s="3">
        <f t="shared" si="10"/>
        <v>2.6884833228445562</v>
      </c>
      <c r="M112" s="5">
        <v>0.63</v>
      </c>
      <c r="N112">
        <v>10</v>
      </c>
      <c r="O112" s="7">
        <v>1434</v>
      </c>
      <c r="P112">
        <v>16</v>
      </c>
      <c r="Q112" s="10">
        <f t="shared" si="11"/>
        <v>20.326936744847192</v>
      </c>
      <c r="R112" s="6">
        <f t="shared" si="12"/>
        <v>1.0191897654584221</v>
      </c>
      <c r="S112" s="6">
        <f t="shared" si="13"/>
        <v>0.90245437382001259</v>
      </c>
      <c r="T112" s="6">
        <f t="shared" si="14"/>
        <v>143.4</v>
      </c>
      <c r="U112" s="10">
        <f t="shared" si="15"/>
        <v>1.5873015873015872</v>
      </c>
      <c r="V112" s="6"/>
      <c r="W112" s="6"/>
    </row>
    <row r="113" spans="1:23" x14ac:dyDescent="0.25">
      <c r="A113" t="s">
        <v>30</v>
      </c>
      <c r="B113">
        <v>2020</v>
      </c>
      <c r="C113" s="4">
        <f t="shared" si="8"/>
        <v>43983</v>
      </c>
      <c r="D113">
        <v>6</v>
      </c>
      <c r="E113">
        <v>836</v>
      </c>
      <c r="F113">
        <v>436</v>
      </c>
      <c r="G113" s="1">
        <f t="shared" si="9"/>
        <v>400</v>
      </c>
      <c r="H113" s="1">
        <v>1466</v>
      </c>
      <c r="I113" s="2">
        <v>0.18010000000000001</v>
      </c>
      <c r="J113" s="1">
        <v>4785</v>
      </c>
      <c r="K113" s="3">
        <v>3.3680555555555556E-3</v>
      </c>
      <c r="L113" s="3">
        <f t="shared" si="10"/>
        <v>3.2639836289222375</v>
      </c>
      <c r="M113" s="5">
        <v>38.61</v>
      </c>
      <c r="N113">
        <v>566</v>
      </c>
      <c r="O113" s="7">
        <v>103253</v>
      </c>
      <c r="P113" s="1">
        <v>1430</v>
      </c>
      <c r="Q113" s="10">
        <f t="shared" si="11"/>
        <v>47.846889952153113</v>
      </c>
      <c r="R113" s="6">
        <f t="shared" si="12"/>
        <v>123.50837320574162</v>
      </c>
      <c r="S113" s="6">
        <f t="shared" si="13"/>
        <v>70.431787175989086</v>
      </c>
      <c r="T113" s="6">
        <f t="shared" si="14"/>
        <v>182.42579505300353</v>
      </c>
      <c r="U113" s="10">
        <f t="shared" si="15"/>
        <v>2.5900025900025901E-2</v>
      </c>
      <c r="V113" s="6"/>
      <c r="W113" s="6"/>
    </row>
    <row r="114" spans="1:23" x14ac:dyDescent="0.25">
      <c r="A114" t="s">
        <v>28</v>
      </c>
      <c r="B114">
        <v>2019</v>
      </c>
      <c r="C114" s="4">
        <f t="shared" si="8"/>
        <v>43709</v>
      </c>
      <c r="D114">
        <v>9</v>
      </c>
      <c r="E114" s="1">
        <v>1332</v>
      </c>
      <c r="F114">
        <v>994</v>
      </c>
      <c r="G114" s="1">
        <f t="shared" si="9"/>
        <v>338</v>
      </c>
      <c r="H114" s="1">
        <v>1465</v>
      </c>
      <c r="I114" s="2">
        <v>0.67649999999999999</v>
      </c>
      <c r="J114" s="1">
        <v>3204</v>
      </c>
      <c r="K114" s="3">
        <v>1.1226851851851851E-3</v>
      </c>
      <c r="L114" s="3">
        <f t="shared" si="10"/>
        <v>2.1870307167235494</v>
      </c>
      <c r="M114" s="5">
        <v>0.27</v>
      </c>
      <c r="N114">
        <v>4</v>
      </c>
      <c r="O114" s="7">
        <v>793</v>
      </c>
      <c r="P114">
        <v>6</v>
      </c>
      <c r="Q114" s="10">
        <f t="shared" si="11"/>
        <v>25.375375375375377</v>
      </c>
      <c r="R114" s="6">
        <f t="shared" si="12"/>
        <v>0.59534534534534533</v>
      </c>
      <c r="S114" s="6">
        <f t="shared" si="13"/>
        <v>0.54129692832764509</v>
      </c>
      <c r="T114" s="6">
        <f t="shared" si="14"/>
        <v>198.25</v>
      </c>
      <c r="U114" s="10">
        <f t="shared" si="15"/>
        <v>3.7037037037037033</v>
      </c>
      <c r="V114" s="6"/>
      <c r="W114" s="6"/>
    </row>
    <row r="115" spans="1:23" x14ac:dyDescent="0.25">
      <c r="A115" t="s">
        <v>28</v>
      </c>
      <c r="B115">
        <v>2020</v>
      </c>
      <c r="C115" s="4">
        <f t="shared" si="8"/>
        <v>44044</v>
      </c>
      <c r="D115">
        <v>8</v>
      </c>
      <c r="E115" s="1">
        <v>1323</v>
      </c>
      <c r="F115" s="1">
        <v>1100</v>
      </c>
      <c r="G115" s="1">
        <f t="shared" si="9"/>
        <v>223</v>
      </c>
      <c r="H115" s="1">
        <v>1463</v>
      </c>
      <c r="I115" s="2">
        <v>0.60360000000000003</v>
      </c>
      <c r="J115" s="1">
        <v>3756</v>
      </c>
      <c r="K115" s="3">
        <v>1.4351851851851852E-3</v>
      </c>
      <c r="L115" s="3">
        <f t="shared" si="10"/>
        <v>2.5673274094326728</v>
      </c>
      <c r="M115" s="5">
        <v>0.62</v>
      </c>
      <c r="N115">
        <v>9</v>
      </c>
      <c r="O115" s="7">
        <v>1706</v>
      </c>
      <c r="P115">
        <v>11</v>
      </c>
      <c r="Q115" s="10">
        <f t="shared" si="11"/>
        <v>16.855631141345427</v>
      </c>
      <c r="R115" s="6">
        <f t="shared" si="12"/>
        <v>1.2894935752078609</v>
      </c>
      <c r="S115" s="6">
        <f t="shared" si="13"/>
        <v>1.166097060833903</v>
      </c>
      <c r="T115" s="6">
        <f t="shared" si="14"/>
        <v>189.55555555555554</v>
      </c>
      <c r="U115" s="10">
        <f t="shared" si="15"/>
        <v>1.6129032258064517</v>
      </c>
      <c r="V115" s="6"/>
      <c r="W115" s="6"/>
    </row>
    <row r="116" spans="1:23" x14ac:dyDescent="0.25">
      <c r="A116" t="s">
        <v>31</v>
      </c>
      <c r="B116">
        <v>2020</v>
      </c>
      <c r="C116" s="4">
        <f t="shared" si="8"/>
        <v>43952</v>
      </c>
      <c r="D116">
        <v>5</v>
      </c>
      <c r="E116">
        <v>901</v>
      </c>
      <c r="F116">
        <v>558</v>
      </c>
      <c r="G116" s="1">
        <f t="shared" si="9"/>
        <v>343</v>
      </c>
      <c r="H116" s="1">
        <v>1443</v>
      </c>
      <c r="I116" s="2">
        <v>0.3805</v>
      </c>
      <c r="J116" s="1">
        <v>7391</v>
      </c>
      <c r="K116" s="3">
        <v>2.7430555555555554E-3</v>
      </c>
      <c r="L116" s="3">
        <f t="shared" si="10"/>
        <v>5.1219681219681217</v>
      </c>
      <c r="M116" s="5">
        <v>0.69</v>
      </c>
      <c r="N116">
        <v>10</v>
      </c>
      <c r="O116" s="7">
        <v>1129</v>
      </c>
      <c r="P116">
        <v>16</v>
      </c>
      <c r="Q116" s="10">
        <f t="shared" si="11"/>
        <v>38.068812430632633</v>
      </c>
      <c r="R116" s="6">
        <f t="shared" si="12"/>
        <v>1.2530521642619312</v>
      </c>
      <c r="S116" s="6">
        <f t="shared" si="13"/>
        <v>0.78239778239778235</v>
      </c>
      <c r="T116" s="6">
        <f t="shared" si="14"/>
        <v>112.9</v>
      </c>
      <c r="U116" s="10">
        <f t="shared" si="15"/>
        <v>1.4492753623188408</v>
      </c>
      <c r="V116" s="6"/>
      <c r="W116" s="6"/>
    </row>
    <row r="117" spans="1:23" x14ac:dyDescent="0.25">
      <c r="A117" t="s">
        <v>29</v>
      </c>
      <c r="B117">
        <v>2019</v>
      </c>
      <c r="C117" s="4">
        <f t="shared" si="8"/>
        <v>43709</v>
      </c>
      <c r="D117">
        <v>9</v>
      </c>
      <c r="E117" s="1">
        <v>1070</v>
      </c>
      <c r="F117">
        <v>776</v>
      </c>
      <c r="G117" s="1">
        <f t="shared" si="9"/>
        <v>294</v>
      </c>
      <c r="H117" s="1">
        <v>1420</v>
      </c>
      <c r="I117" s="2">
        <v>0.4556</v>
      </c>
      <c r="J117" s="1">
        <v>7522</v>
      </c>
      <c r="K117" s="3">
        <v>2.9629629629629628E-3</v>
      </c>
      <c r="L117" s="3">
        <f t="shared" si="10"/>
        <v>5.2971830985915496</v>
      </c>
      <c r="M117" s="5">
        <v>0.28000000000000003</v>
      </c>
      <c r="N117">
        <v>4</v>
      </c>
      <c r="O117" s="7">
        <v>659</v>
      </c>
      <c r="P117">
        <v>8</v>
      </c>
      <c r="Q117" s="10">
        <f t="shared" si="11"/>
        <v>27.476635514018692</v>
      </c>
      <c r="R117" s="6">
        <f t="shared" si="12"/>
        <v>0.61588785046728967</v>
      </c>
      <c r="S117" s="6">
        <f t="shared" si="13"/>
        <v>0.46408450704225351</v>
      </c>
      <c r="T117" s="6">
        <f t="shared" si="14"/>
        <v>164.75</v>
      </c>
      <c r="U117" s="10">
        <f t="shared" si="15"/>
        <v>3.5714285714285712</v>
      </c>
      <c r="V117" s="6"/>
      <c r="W117" s="6"/>
    </row>
    <row r="118" spans="1:23" x14ac:dyDescent="0.25">
      <c r="A118" t="s">
        <v>24</v>
      </c>
      <c r="B118">
        <v>2020</v>
      </c>
      <c r="C118" s="4">
        <f t="shared" si="8"/>
        <v>43891</v>
      </c>
      <c r="D118">
        <v>3</v>
      </c>
      <c r="E118">
        <v>618</v>
      </c>
      <c r="F118">
        <v>4</v>
      </c>
      <c r="G118" s="1">
        <f t="shared" si="9"/>
        <v>614</v>
      </c>
      <c r="H118" s="1">
        <v>1417</v>
      </c>
      <c r="I118" s="2">
        <v>0.80520000000000003</v>
      </c>
      <c r="J118" s="1">
        <v>2432</v>
      </c>
      <c r="K118" s="3">
        <v>7.5231481481481482E-4</v>
      </c>
      <c r="L118" s="3">
        <f t="shared" si="10"/>
        <v>1.716302046577276</v>
      </c>
      <c r="M118" s="5">
        <v>0.14000000000000001</v>
      </c>
      <c r="N118">
        <v>2</v>
      </c>
      <c r="O118" s="7">
        <v>301</v>
      </c>
      <c r="P118">
        <v>5</v>
      </c>
      <c r="Q118" s="10">
        <f t="shared" si="11"/>
        <v>99.35275080906149</v>
      </c>
      <c r="R118" s="6">
        <f t="shared" si="12"/>
        <v>0.48705501618122976</v>
      </c>
      <c r="S118" s="6">
        <f t="shared" si="13"/>
        <v>0.21242060691601977</v>
      </c>
      <c r="T118" s="6">
        <f t="shared" si="14"/>
        <v>150.5</v>
      </c>
      <c r="U118" s="10">
        <f t="shared" si="15"/>
        <v>7.1428571428571423</v>
      </c>
      <c r="V118" s="6"/>
      <c r="W118" s="6"/>
    </row>
    <row r="119" spans="1:23" x14ac:dyDescent="0.25">
      <c r="A119" t="s">
        <v>29</v>
      </c>
      <c r="B119">
        <v>2020</v>
      </c>
      <c r="C119" s="4">
        <f t="shared" si="8"/>
        <v>43891</v>
      </c>
      <c r="D119">
        <v>3</v>
      </c>
      <c r="E119" s="1">
        <v>1043</v>
      </c>
      <c r="F119">
        <v>735</v>
      </c>
      <c r="G119" s="1">
        <f t="shared" si="9"/>
        <v>308</v>
      </c>
      <c r="H119" s="1">
        <v>1413</v>
      </c>
      <c r="I119" s="2">
        <v>0.47910000000000003</v>
      </c>
      <c r="J119" s="1">
        <v>6289</v>
      </c>
      <c r="K119" s="3">
        <v>3.0902777777777777E-3</v>
      </c>
      <c r="L119" s="3">
        <f t="shared" si="10"/>
        <v>4.4508138711960372</v>
      </c>
      <c r="M119" s="5">
        <v>1.1299999999999999</v>
      </c>
      <c r="N119">
        <v>16</v>
      </c>
      <c r="O119" s="7">
        <v>1598</v>
      </c>
      <c r="P119">
        <v>27</v>
      </c>
      <c r="Q119" s="10">
        <f t="shared" si="11"/>
        <v>29.530201342281881</v>
      </c>
      <c r="R119" s="6">
        <f t="shared" si="12"/>
        <v>1.5321188878235859</v>
      </c>
      <c r="S119" s="6">
        <f t="shared" si="13"/>
        <v>1.1309271054493983</v>
      </c>
      <c r="T119" s="6">
        <f t="shared" si="14"/>
        <v>99.875</v>
      </c>
      <c r="U119" s="10">
        <f t="shared" si="15"/>
        <v>0.88495575221238942</v>
      </c>
      <c r="V119" s="6"/>
      <c r="W119" s="6"/>
    </row>
    <row r="120" spans="1:23" x14ac:dyDescent="0.25">
      <c r="A120" t="s">
        <v>21</v>
      </c>
      <c r="B120">
        <v>2020</v>
      </c>
      <c r="C120" s="4">
        <f t="shared" si="8"/>
        <v>43891</v>
      </c>
      <c r="D120">
        <v>3</v>
      </c>
      <c r="E120" s="1">
        <v>1195</v>
      </c>
      <c r="F120">
        <v>735</v>
      </c>
      <c r="G120" s="1">
        <f t="shared" si="9"/>
        <v>460</v>
      </c>
      <c r="H120" s="1">
        <v>1385</v>
      </c>
      <c r="I120" s="2">
        <v>0.53859999999999997</v>
      </c>
      <c r="J120" s="1">
        <v>6808</v>
      </c>
      <c r="K120" s="3">
        <v>2.0023148148148148E-3</v>
      </c>
      <c r="L120" s="3">
        <f t="shared" si="10"/>
        <v>4.9155234657039708</v>
      </c>
      <c r="M120" s="5">
        <v>1.88</v>
      </c>
      <c r="N120">
        <v>26</v>
      </c>
      <c r="O120" s="7">
        <v>4120</v>
      </c>
      <c r="P120">
        <v>52</v>
      </c>
      <c r="Q120" s="10">
        <f t="shared" si="11"/>
        <v>38.493723849372387</v>
      </c>
      <c r="R120" s="6">
        <f t="shared" si="12"/>
        <v>3.4476987447698746</v>
      </c>
      <c r="S120" s="6">
        <f t="shared" si="13"/>
        <v>2.9747292418772564</v>
      </c>
      <c r="T120" s="6">
        <f t="shared" si="14"/>
        <v>158.46153846153845</v>
      </c>
      <c r="U120" s="10">
        <f t="shared" si="15"/>
        <v>0.53191489361702127</v>
      </c>
      <c r="V120" s="6"/>
      <c r="W120" s="6"/>
    </row>
    <row r="121" spans="1:23" x14ac:dyDescent="0.25">
      <c r="A121" t="s">
        <v>32</v>
      </c>
      <c r="B121">
        <v>2020</v>
      </c>
      <c r="C121" s="4">
        <f t="shared" si="8"/>
        <v>43983</v>
      </c>
      <c r="D121">
        <v>6</v>
      </c>
      <c r="E121">
        <v>477</v>
      </c>
      <c r="F121">
        <v>193</v>
      </c>
      <c r="G121" s="1">
        <f t="shared" si="9"/>
        <v>284</v>
      </c>
      <c r="H121" s="1">
        <v>1344</v>
      </c>
      <c r="I121" s="2">
        <v>0.47170000000000001</v>
      </c>
      <c r="J121" s="1">
        <v>2716</v>
      </c>
      <c r="K121" s="3">
        <v>1.6203703703703703E-3</v>
      </c>
      <c r="L121" s="3">
        <f t="shared" si="10"/>
        <v>2.0208333333333335</v>
      </c>
      <c r="M121" s="5">
        <v>17.11</v>
      </c>
      <c r="N121">
        <v>230</v>
      </c>
      <c r="O121" s="7">
        <v>48328</v>
      </c>
      <c r="P121">
        <v>532</v>
      </c>
      <c r="Q121" s="10">
        <f t="shared" si="11"/>
        <v>59.538784067085956</v>
      </c>
      <c r="R121" s="6">
        <f t="shared" si="12"/>
        <v>101.31656184486373</v>
      </c>
      <c r="S121" s="6">
        <f t="shared" si="13"/>
        <v>35.958333333333336</v>
      </c>
      <c r="T121" s="6">
        <f t="shared" si="14"/>
        <v>210.12173913043478</v>
      </c>
      <c r="U121" s="10">
        <f t="shared" si="15"/>
        <v>5.8445353594389245E-2</v>
      </c>
      <c r="V121" s="6"/>
      <c r="W121" s="6"/>
    </row>
    <row r="122" spans="1:23" hidden="1" x14ac:dyDescent="0.25">
      <c r="A122" t="s">
        <v>27</v>
      </c>
      <c r="B122">
        <v>2020</v>
      </c>
      <c r="C122" s="4">
        <f t="shared" si="8"/>
        <v>44044</v>
      </c>
      <c r="D122">
        <v>8</v>
      </c>
      <c r="E122">
        <v>559</v>
      </c>
      <c r="F122">
        <v>14</v>
      </c>
      <c r="G122" s="1">
        <f t="shared" si="9"/>
        <v>545</v>
      </c>
      <c r="H122" s="1">
        <v>1149</v>
      </c>
      <c r="I122" s="2">
        <v>0.77110000000000001</v>
      </c>
      <c r="J122" s="1">
        <v>2208</v>
      </c>
      <c r="K122" s="3">
        <v>1.2962962962962963E-3</v>
      </c>
      <c r="L122" s="3">
        <f t="shared" si="10"/>
        <v>1.9216710182767625</v>
      </c>
      <c r="M122" s="5">
        <v>0</v>
      </c>
      <c r="N122">
        <v>0</v>
      </c>
      <c r="O122" s="7">
        <v>0</v>
      </c>
      <c r="P122">
        <v>0</v>
      </c>
      <c r="Q122" s="10">
        <f t="shared" si="11"/>
        <v>97.495527728085861</v>
      </c>
      <c r="R122" s="6">
        <f t="shared" si="12"/>
        <v>0</v>
      </c>
      <c r="S122" s="6">
        <f t="shared" si="13"/>
        <v>0</v>
      </c>
      <c r="T122" s="6" t="e">
        <f t="shared" si="14"/>
        <v>#DIV/0!</v>
      </c>
      <c r="U122" s="10" t="e">
        <f t="shared" si="15"/>
        <v>#DIV/0!</v>
      </c>
      <c r="V122" s="6">
        <f>SUMIF(B122:B367,2019,F122:F367)</f>
        <v>10209</v>
      </c>
      <c r="W122" s="6">
        <f>AVERAGEIF($B$2:$B$247,2019,$M$2:$M$247)</f>
        <v>2.9876404494382021</v>
      </c>
    </row>
    <row r="123" spans="1:23" x14ac:dyDescent="0.25">
      <c r="A123" t="s">
        <v>30</v>
      </c>
      <c r="B123">
        <v>2020</v>
      </c>
      <c r="C123" s="4">
        <f t="shared" si="8"/>
        <v>43891</v>
      </c>
      <c r="D123">
        <v>3</v>
      </c>
      <c r="E123">
        <v>524</v>
      </c>
      <c r="F123">
        <v>282</v>
      </c>
      <c r="G123" s="1">
        <f t="shared" si="9"/>
        <v>242</v>
      </c>
      <c r="H123" s="1">
        <v>1146</v>
      </c>
      <c r="I123" s="2">
        <v>0.25390000000000001</v>
      </c>
      <c r="J123" s="1">
        <v>2680</v>
      </c>
      <c r="K123" s="3">
        <v>2.7199074074074074E-3</v>
      </c>
      <c r="L123" s="3">
        <f t="shared" si="10"/>
        <v>2.338568935427574</v>
      </c>
      <c r="M123" s="5">
        <v>31.76</v>
      </c>
      <c r="N123">
        <v>364</v>
      </c>
      <c r="O123" s="7">
        <v>58819</v>
      </c>
      <c r="P123">
        <v>739</v>
      </c>
      <c r="Q123" s="10">
        <f t="shared" si="11"/>
        <v>46.18320610687023</v>
      </c>
      <c r="R123" s="6">
        <f t="shared" si="12"/>
        <v>112.25</v>
      </c>
      <c r="S123" s="6">
        <f t="shared" si="13"/>
        <v>51.325479930191975</v>
      </c>
      <c r="T123" s="6">
        <f t="shared" si="14"/>
        <v>161.59065934065933</v>
      </c>
      <c r="U123" s="10">
        <f>1/M123</f>
        <v>3.1486146095717885E-2</v>
      </c>
      <c r="V123" s="6"/>
      <c r="W123" s="6"/>
    </row>
    <row r="124" spans="1:23" hidden="1" x14ac:dyDescent="0.25">
      <c r="A124" t="s">
        <v>33</v>
      </c>
      <c r="B124">
        <v>2019</v>
      </c>
      <c r="C124" s="4">
        <f t="shared" si="8"/>
        <v>43739</v>
      </c>
      <c r="D124">
        <v>10</v>
      </c>
      <c r="E124">
        <v>773</v>
      </c>
      <c r="F124">
        <v>417</v>
      </c>
      <c r="G124" s="1">
        <f t="shared" si="9"/>
        <v>356</v>
      </c>
      <c r="H124" s="1">
        <v>1130</v>
      </c>
      <c r="I124" s="2">
        <v>0.27079999999999999</v>
      </c>
      <c r="J124" s="1">
        <v>5233</v>
      </c>
      <c r="K124" s="3">
        <v>2.0138888888888888E-3</v>
      </c>
      <c r="L124" s="3">
        <f t="shared" si="10"/>
        <v>4.6309734513274332</v>
      </c>
      <c r="M124" s="5">
        <v>0</v>
      </c>
      <c r="N124">
        <v>0</v>
      </c>
      <c r="O124" s="7">
        <v>0</v>
      </c>
      <c r="P124">
        <v>0</v>
      </c>
      <c r="Q124" s="10">
        <f t="shared" si="11"/>
        <v>46.054333764553682</v>
      </c>
      <c r="R124" s="6">
        <f t="shared" si="12"/>
        <v>0</v>
      </c>
      <c r="S124" s="6">
        <f t="shared" si="13"/>
        <v>0</v>
      </c>
      <c r="T124" s="6" t="e">
        <f t="shared" si="14"/>
        <v>#DIV/0!</v>
      </c>
      <c r="U124" s="10" t="e">
        <f>1/M124</f>
        <v>#DIV/0!</v>
      </c>
      <c r="V124" s="6">
        <f>SUMIF(B124:B369,2019,F124:F369)</f>
        <v>10209</v>
      </c>
      <c r="W124" s="6">
        <f>AVERAGEIF($B$2:$B$247,2019,$M$2:$M$247)</f>
        <v>2.9876404494382021</v>
      </c>
    </row>
    <row r="125" spans="1:23" x14ac:dyDescent="0.25">
      <c r="A125" t="s">
        <v>25</v>
      </c>
      <c r="B125">
        <v>2020</v>
      </c>
      <c r="C125" s="4">
        <f t="shared" si="8"/>
        <v>44013</v>
      </c>
      <c r="D125">
        <v>7</v>
      </c>
      <c r="E125">
        <v>932</v>
      </c>
      <c r="F125">
        <v>597</v>
      </c>
      <c r="G125" s="1">
        <f t="shared" si="9"/>
        <v>335</v>
      </c>
      <c r="H125" s="1">
        <v>1100</v>
      </c>
      <c r="I125" s="2">
        <v>0.46089999999999998</v>
      </c>
      <c r="J125" s="1">
        <v>5477</v>
      </c>
      <c r="K125" s="3">
        <v>2.3032407407407407E-3</v>
      </c>
      <c r="L125" s="3">
        <f t="shared" si="10"/>
        <v>4.9790909090909095</v>
      </c>
      <c r="M125" s="5">
        <v>3.73</v>
      </c>
      <c r="N125">
        <v>41</v>
      </c>
      <c r="O125" s="7">
        <v>5550</v>
      </c>
      <c r="P125">
        <v>72</v>
      </c>
      <c r="Q125" s="10">
        <f t="shared" si="11"/>
        <v>35.944206008583691</v>
      </c>
      <c r="R125" s="6">
        <f t="shared" si="12"/>
        <v>5.9549356223175964</v>
      </c>
      <c r="S125" s="6">
        <f t="shared" si="13"/>
        <v>5.0454545454545459</v>
      </c>
      <c r="T125" s="6">
        <f t="shared" si="14"/>
        <v>135.36585365853659</v>
      </c>
      <c r="U125" s="10">
        <f t="shared" si="15"/>
        <v>0.26809651474530832</v>
      </c>
      <c r="V125" s="6"/>
      <c r="W125" s="6"/>
    </row>
    <row r="126" spans="1:23" x14ac:dyDescent="0.25">
      <c r="A126" t="s">
        <v>32</v>
      </c>
      <c r="B126">
        <v>2020</v>
      </c>
      <c r="C126" s="4">
        <f t="shared" si="8"/>
        <v>43952</v>
      </c>
      <c r="D126">
        <v>5</v>
      </c>
      <c r="E126">
        <v>483</v>
      </c>
      <c r="F126">
        <v>237</v>
      </c>
      <c r="G126" s="1">
        <f t="shared" si="9"/>
        <v>246</v>
      </c>
      <c r="H126" s="1">
        <v>1094</v>
      </c>
      <c r="I126" s="2">
        <v>0.29249999999999998</v>
      </c>
      <c r="J126" s="1">
        <v>2474</v>
      </c>
      <c r="K126" s="3">
        <v>2.0949074074074073E-3</v>
      </c>
      <c r="L126" s="3">
        <f t="shared" si="10"/>
        <v>2.2614259597806217</v>
      </c>
      <c r="M126" s="5">
        <v>24.59</v>
      </c>
      <c r="N126">
        <v>269</v>
      </c>
      <c r="O126" s="7">
        <v>51587</v>
      </c>
      <c r="P126">
        <v>612</v>
      </c>
      <c r="Q126" s="10">
        <f t="shared" si="11"/>
        <v>50.931677018633536</v>
      </c>
      <c r="R126" s="6">
        <f t="shared" si="12"/>
        <v>106.80538302277432</v>
      </c>
      <c r="S126" s="6">
        <f t="shared" si="13"/>
        <v>47.154478976234003</v>
      </c>
      <c r="T126" s="6">
        <f t="shared" si="14"/>
        <v>191.7732342007435</v>
      </c>
      <c r="U126" s="10">
        <f t="shared" si="15"/>
        <v>4.0666937779585195E-2</v>
      </c>
      <c r="V126" s="6"/>
      <c r="W126" s="6"/>
    </row>
    <row r="127" spans="1:23" x14ac:dyDescent="0.25">
      <c r="A127" t="s">
        <v>28</v>
      </c>
      <c r="B127">
        <v>2019</v>
      </c>
      <c r="C127" s="4">
        <f t="shared" si="8"/>
        <v>43739</v>
      </c>
      <c r="D127">
        <v>10</v>
      </c>
      <c r="E127">
        <v>977</v>
      </c>
      <c r="F127">
        <v>754</v>
      </c>
      <c r="G127" s="1">
        <f t="shared" si="9"/>
        <v>223</v>
      </c>
      <c r="H127" s="1">
        <v>1082</v>
      </c>
      <c r="I127" s="2">
        <v>5.5500000000000001E-2</v>
      </c>
      <c r="J127" s="1">
        <v>2142</v>
      </c>
      <c r="K127" s="3">
        <v>1.238425925925926E-3</v>
      </c>
      <c r="L127" s="3">
        <f t="shared" si="10"/>
        <v>1.9796672828096118</v>
      </c>
      <c r="M127" s="5">
        <v>0.18</v>
      </c>
      <c r="N127">
        <v>2</v>
      </c>
      <c r="O127" s="7">
        <v>340</v>
      </c>
      <c r="P127">
        <v>2</v>
      </c>
      <c r="Q127" s="10">
        <f t="shared" si="11"/>
        <v>22.824974411463664</v>
      </c>
      <c r="R127" s="6">
        <f t="shared" si="12"/>
        <v>0.34800409416581374</v>
      </c>
      <c r="S127" s="6">
        <f t="shared" si="13"/>
        <v>0.3142329020332717</v>
      </c>
      <c r="T127" s="6">
        <f t="shared" si="14"/>
        <v>170</v>
      </c>
      <c r="U127" s="10">
        <f t="shared" si="15"/>
        <v>5.5555555555555554</v>
      </c>
      <c r="V127" s="6"/>
      <c r="W127" s="6"/>
    </row>
    <row r="128" spans="1:23" x14ac:dyDescent="0.25">
      <c r="A128" t="s">
        <v>31</v>
      </c>
      <c r="B128">
        <v>2020</v>
      </c>
      <c r="C128" s="4">
        <f t="shared" ref="C128:C191" si="16">DATE(B128,D128,1)</f>
        <v>44044</v>
      </c>
      <c r="D128">
        <v>8</v>
      </c>
      <c r="E128">
        <v>703</v>
      </c>
      <c r="F128">
        <v>381</v>
      </c>
      <c r="G128" s="1">
        <f t="shared" ref="G128:G191" si="17">E128-F128</f>
        <v>322</v>
      </c>
      <c r="H128" s="1">
        <v>1050</v>
      </c>
      <c r="I128" s="2">
        <v>0.44</v>
      </c>
      <c r="J128" s="1">
        <v>4457</v>
      </c>
      <c r="K128" s="3">
        <v>2.5462962962962965E-3</v>
      </c>
      <c r="L128" s="3">
        <f t="shared" ref="L128:L191" si="18">J128/H128</f>
        <v>4.244761904761905</v>
      </c>
      <c r="M128" s="5">
        <v>0.38</v>
      </c>
      <c r="N128">
        <v>4</v>
      </c>
      <c r="O128" s="7">
        <v>375</v>
      </c>
      <c r="P128">
        <v>5</v>
      </c>
      <c r="Q128" s="10">
        <f t="shared" ref="Q128:Q191" si="19">(G128/E128)*100</f>
        <v>45.803698435277383</v>
      </c>
      <c r="R128" s="6">
        <f t="shared" ref="R128:R191" si="20">O128/E128</f>
        <v>0.53342816500711232</v>
      </c>
      <c r="S128" s="6">
        <f t="shared" ref="S128:S191" si="21">O128/H128</f>
        <v>0.35714285714285715</v>
      </c>
      <c r="T128" s="6">
        <f t="shared" ref="T128:T191" si="22">O128/N128</f>
        <v>93.75</v>
      </c>
      <c r="U128" s="10">
        <f t="shared" ref="U128:U191" si="23">1/M128</f>
        <v>2.6315789473684212</v>
      </c>
      <c r="V128" s="6"/>
      <c r="W128" s="6"/>
    </row>
    <row r="129" spans="1:23" x14ac:dyDescent="0.25">
      <c r="A129" t="s">
        <v>33</v>
      </c>
      <c r="B129">
        <v>2020</v>
      </c>
      <c r="C129" s="4">
        <f t="shared" si="16"/>
        <v>43952</v>
      </c>
      <c r="D129">
        <v>5</v>
      </c>
      <c r="E129">
        <v>803</v>
      </c>
      <c r="F129">
        <v>364</v>
      </c>
      <c r="G129" s="1">
        <f t="shared" si="17"/>
        <v>439</v>
      </c>
      <c r="H129" s="1">
        <v>1045</v>
      </c>
      <c r="I129" s="2">
        <v>0.24690000000000001</v>
      </c>
      <c r="J129" s="1">
        <v>6864</v>
      </c>
      <c r="K129" s="3">
        <v>3.2060185185185186E-3</v>
      </c>
      <c r="L129" s="3">
        <f t="shared" si="18"/>
        <v>6.5684210526315789</v>
      </c>
      <c r="M129" s="5">
        <v>1.1499999999999999</v>
      </c>
      <c r="N129">
        <v>12</v>
      </c>
      <c r="O129" s="7">
        <v>1717</v>
      </c>
      <c r="P129">
        <v>20</v>
      </c>
      <c r="Q129" s="10">
        <f t="shared" si="19"/>
        <v>54.669987546699872</v>
      </c>
      <c r="R129" s="6">
        <f t="shared" si="20"/>
        <v>2.1382316313823164</v>
      </c>
      <c r="S129" s="6">
        <f t="shared" si="21"/>
        <v>1.6430622009569378</v>
      </c>
      <c r="T129" s="6">
        <f t="shared" si="22"/>
        <v>143.08333333333334</v>
      </c>
      <c r="U129" s="10">
        <f t="shared" si="23"/>
        <v>0.86956521739130443</v>
      </c>
      <c r="V129" s="6"/>
      <c r="W129" s="6"/>
    </row>
    <row r="130" spans="1:23" x14ac:dyDescent="0.25">
      <c r="A130" t="s">
        <v>34</v>
      </c>
      <c r="B130">
        <v>2020</v>
      </c>
      <c r="C130" s="4">
        <f t="shared" si="16"/>
        <v>43952</v>
      </c>
      <c r="D130">
        <v>5</v>
      </c>
      <c r="E130">
        <v>927</v>
      </c>
      <c r="F130">
        <v>768</v>
      </c>
      <c r="G130" s="1">
        <f t="shared" si="17"/>
        <v>159</v>
      </c>
      <c r="H130" s="1">
        <v>1043</v>
      </c>
      <c r="I130" s="2">
        <v>0.14960000000000001</v>
      </c>
      <c r="J130" s="1">
        <v>7017</v>
      </c>
      <c r="K130" s="3">
        <v>2.650462962962963E-3</v>
      </c>
      <c r="L130" s="3">
        <f t="shared" si="18"/>
        <v>6.7277085330776609</v>
      </c>
      <c r="M130" s="5">
        <v>0.77</v>
      </c>
      <c r="N130">
        <v>8</v>
      </c>
      <c r="O130" s="7">
        <v>1661</v>
      </c>
      <c r="P130">
        <v>24</v>
      </c>
      <c r="Q130" s="10">
        <f t="shared" si="19"/>
        <v>17.15210355987055</v>
      </c>
      <c r="R130" s="6">
        <f t="shared" si="20"/>
        <v>1.7918015102481122</v>
      </c>
      <c r="S130" s="6">
        <f t="shared" si="21"/>
        <v>1.5925215723873443</v>
      </c>
      <c r="T130" s="6">
        <f t="shared" si="22"/>
        <v>207.625</v>
      </c>
      <c r="U130" s="10">
        <f t="shared" si="23"/>
        <v>1.2987012987012987</v>
      </c>
      <c r="V130" s="6"/>
      <c r="W130" s="6"/>
    </row>
    <row r="131" spans="1:23" x14ac:dyDescent="0.25">
      <c r="A131" t="s">
        <v>23</v>
      </c>
      <c r="B131">
        <v>2020</v>
      </c>
      <c r="C131" s="4">
        <f t="shared" si="16"/>
        <v>43983</v>
      </c>
      <c r="D131">
        <v>6</v>
      </c>
      <c r="E131">
        <v>916</v>
      </c>
      <c r="F131">
        <v>736</v>
      </c>
      <c r="G131" s="1">
        <f t="shared" si="17"/>
        <v>180</v>
      </c>
      <c r="H131" s="1">
        <v>1033</v>
      </c>
      <c r="I131" s="2">
        <v>0.21879999999999999</v>
      </c>
      <c r="J131" s="1">
        <v>5691</v>
      </c>
      <c r="K131" s="3">
        <v>2.1990740740740742E-3</v>
      </c>
      <c r="L131" s="3">
        <f t="shared" si="18"/>
        <v>5.5091965150048399</v>
      </c>
      <c r="M131" s="5">
        <v>0.97</v>
      </c>
      <c r="N131">
        <v>10</v>
      </c>
      <c r="O131" s="7">
        <v>1176</v>
      </c>
      <c r="P131">
        <v>13</v>
      </c>
      <c r="Q131" s="10">
        <f t="shared" si="19"/>
        <v>19.650655021834059</v>
      </c>
      <c r="R131" s="6">
        <f t="shared" si="20"/>
        <v>1.2838427947598254</v>
      </c>
      <c r="S131" s="6">
        <f t="shared" si="21"/>
        <v>1.138431752178122</v>
      </c>
      <c r="T131" s="6">
        <f t="shared" si="22"/>
        <v>117.6</v>
      </c>
      <c r="U131" s="10">
        <f t="shared" si="23"/>
        <v>1.0309278350515465</v>
      </c>
      <c r="V131" s="6"/>
      <c r="W131" s="6"/>
    </row>
    <row r="132" spans="1:23" x14ac:dyDescent="0.25">
      <c r="A132" t="s">
        <v>33</v>
      </c>
      <c r="B132">
        <v>2019</v>
      </c>
      <c r="C132" s="4">
        <f t="shared" si="16"/>
        <v>43709</v>
      </c>
      <c r="D132">
        <v>9</v>
      </c>
      <c r="E132">
        <v>691</v>
      </c>
      <c r="F132">
        <v>365</v>
      </c>
      <c r="G132" s="1">
        <f t="shared" si="17"/>
        <v>326</v>
      </c>
      <c r="H132" s="1">
        <v>1020</v>
      </c>
      <c r="I132" s="2">
        <v>0.46960000000000002</v>
      </c>
      <c r="J132" s="1">
        <v>4222</v>
      </c>
      <c r="K132" s="3">
        <v>1.6666666666666668E-3</v>
      </c>
      <c r="L132" s="3">
        <f t="shared" si="18"/>
        <v>4.1392156862745102</v>
      </c>
      <c r="M132" s="5">
        <v>0.2</v>
      </c>
      <c r="N132">
        <v>2</v>
      </c>
      <c r="O132" s="7">
        <v>370</v>
      </c>
      <c r="P132">
        <v>2</v>
      </c>
      <c r="Q132" s="10">
        <f t="shared" si="19"/>
        <v>47.178002894356005</v>
      </c>
      <c r="R132" s="6">
        <f t="shared" si="20"/>
        <v>0.5354558610709117</v>
      </c>
      <c r="S132" s="6">
        <f t="shared" si="21"/>
        <v>0.36274509803921567</v>
      </c>
      <c r="T132" s="6">
        <f t="shared" si="22"/>
        <v>185</v>
      </c>
      <c r="U132" s="10">
        <f t="shared" si="23"/>
        <v>5</v>
      </c>
      <c r="V132" s="6"/>
      <c r="W132" s="6"/>
    </row>
    <row r="133" spans="1:23" hidden="1" x14ac:dyDescent="0.25">
      <c r="A133" t="s">
        <v>35</v>
      </c>
      <c r="B133">
        <v>2020</v>
      </c>
      <c r="C133" s="4">
        <f t="shared" si="16"/>
        <v>43831</v>
      </c>
      <c r="D133">
        <v>1</v>
      </c>
      <c r="E133">
        <v>903</v>
      </c>
      <c r="F133">
        <v>887</v>
      </c>
      <c r="G133" s="1">
        <f t="shared" si="17"/>
        <v>16</v>
      </c>
      <c r="H133">
        <v>956</v>
      </c>
      <c r="I133" s="2">
        <v>0.54600000000000004</v>
      </c>
      <c r="J133" s="1">
        <v>2652</v>
      </c>
      <c r="K133" s="3">
        <v>7.7546296296296293E-4</v>
      </c>
      <c r="L133" s="3">
        <f t="shared" si="18"/>
        <v>2.7740585774058579</v>
      </c>
      <c r="M133" s="5">
        <v>0</v>
      </c>
      <c r="N133">
        <v>0</v>
      </c>
      <c r="O133" s="7">
        <v>0</v>
      </c>
      <c r="P133">
        <v>0</v>
      </c>
      <c r="Q133" s="10">
        <f t="shared" si="19"/>
        <v>1.7718715393133997</v>
      </c>
      <c r="R133" s="6">
        <f t="shared" si="20"/>
        <v>0</v>
      </c>
      <c r="S133" s="6">
        <f t="shared" si="21"/>
        <v>0</v>
      </c>
      <c r="T133" s="6" t="e">
        <f t="shared" si="22"/>
        <v>#DIV/0!</v>
      </c>
      <c r="U133" s="10" t="e">
        <f t="shared" si="23"/>
        <v>#DIV/0!</v>
      </c>
      <c r="V133" s="6">
        <f>SUMIF(B133:B378,2019,F133:F378)</f>
        <v>8673</v>
      </c>
      <c r="W133" s="6">
        <f>AVERAGEIF($B$2:$B$247,2019,$M$2:$M$247)</f>
        <v>2.9876404494382021</v>
      </c>
    </row>
    <row r="134" spans="1:23" x14ac:dyDescent="0.25">
      <c r="A134" t="s">
        <v>32</v>
      </c>
      <c r="B134">
        <v>2020</v>
      </c>
      <c r="C134" s="4">
        <f t="shared" si="16"/>
        <v>43922</v>
      </c>
      <c r="D134">
        <v>4</v>
      </c>
      <c r="E134">
        <v>370</v>
      </c>
      <c r="F134">
        <v>178</v>
      </c>
      <c r="G134" s="1">
        <f t="shared" si="17"/>
        <v>192</v>
      </c>
      <c r="H134">
        <v>947</v>
      </c>
      <c r="I134" s="2">
        <v>0.33689999999999998</v>
      </c>
      <c r="J134" s="1">
        <v>2062</v>
      </c>
      <c r="K134" s="3">
        <v>2.2337962962962962E-3</v>
      </c>
      <c r="L134" s="3">
        <f t="shared" si="18"/>
        <v>2.1774023231256598</v>
      </c>
      <c r="M134" s="5">
        <v>26.61</v>
      </c>
      <c r="N134">
        <v>252</v>
      </c>
      <c r="O134" s="7">
        <v>47532</v>
      </c>
      <c r="P134">
        <v>488</v>
      </c>
      <c r="Q134" s="10">
        <f t="shared" si="19"/>
        <v>51.891891891891895</v>
      </c>
      <c r="R134" s="6">
        <f t="shared" si="20"/>
        <v>128.46486486486486</v>
      </c>
      <c r="S134" s="6">
        <f t="shared" si="21"/>
        <v>50.192185850052802</v>
      </c>
      <c r="T134" s="6">
        <f t="shared" si="22"/>
        <v>188.61904761904762</v>
      </c>
      <c r="U134" s="10">
        <f t="shared" si="23"/>
        <v>3.7579857196542651E-2</v>
      </c>
      <c r="V134" s="6"/>
      <c r="W134" s="6"/>
    </row>
    <row r="135" spans="1:23" hidden="1" x14ac:dyDescent="0.25">
      <c r="A135" t="s">
        <v>36</v>
      </c>
      <c r="B135">
        <v>2020</v>
      </c>
      <c r="C135" s="4">
        <f t="shared" si="16"/>
        <v>43952</v>
      </c>
      <c r="D135">
        <v>5</v>
      </c>
      <c r="E135">
        <v>913</v>
      </c>
      <c r="F135">
        <v>864</v>
      </c>
      <c r="G135" s="1">
        <f t="shared" si="17"/>
        <v>49</v>
      </c>
      <c r="H135">
        <v>943</v>
      </c>
      <c r="I135" s="2">
        <v>0.61609999999999998</v>
      </c>
      <c r="J135" s="1">
        <v>2576</v>
      </c>
      <c r="K135" s="3">
        <v>1.1111111111111111E-3</v>
      </c>
      <c r="L135" s="3">
        <f t="shared" si="18"/>
        <v>2.7317073170731709</v>
      </c>
      <c r="M135" s="5">
        <v>0</v>
      </c>
      <c r="N135">
        <v>0</v>
      </c>
      <c r="O135" s="7">
        <v>0</v>
      </c>
      <c r="P135">
        <v>0</v>
      </c>
      <c r="Q135" s="10">
        <f t="shared" si="19"/>
        <v>5.3669222343921135</v>
      </c>
      <c r="R135" s="6">
        <f t="shared" si="20"/>
        <v>0</v>
      </c>
      <c r="S135" s="6">
        <f t="shared" si="21"/>
        <v>0</v>
      </c>
      <c r="T135" s="6" t="e">
        <f t="shared" si="22"/>
        <v>#DIV/0!</v>
      </c>
      <c r="U135" s="10" t="e">
        <f t="shared" si="23"/>
        <v>#DIV/0!</v>
      </c>
      <c r="V135" s="6">
        <f>SUMIF(B135:B380,2019,F135:F380)</f>
        <v>8673</v>
      </c>
      <c r="W135" s="6">
        <f>AVERAGEIF($B$2:$B$247,2019,$M$2:$M$247)</f>
        <v>2.9876404494382021</v>
      </c>
    </row>
    <row r="136" spans="1:23" x14ac:dyDescent="0.25">
      <c r="A136" t="s">
        <v>25</v>
      </c>
      <c r="B136">
        <v>2020</v>
      </c>
      <c r="C136" s="4">
        <f t="shared" si="16"/>
        <v>44044</v>
      </c>
      <c r="D136">
        <v>8</v>
      </c>
      <c r="E136">
        <v>807</v>
      </c>
      <c r="F136">
        <v>593</v>
      </c>
      <c r="G136" s="1">
        <f t="shared" si="17"/>
        <v>214</v>
      </c>
      <c r="H136">
        <v>940</v>
      </c>
      <c r="I136" s="2">
        <v>0.57230000000000003</v>
      </c>
      <c r="J136" s="1">
        <v>4219</v>
      </c>
      <c r="K136" s="3">
        <v>1.8865740740740742E-3</v>
      </c>
      <c r="L136" s="3">
        <f t="shared" si="18"/>
        <v>4.4882978723404259</v>
      </c>
      <c r="M136" s="5">
        <v>3.83</v>
      </c>
      <c r="N136">
        <v>36</v>
      </c>
      <c r="O136" s="7">
        <v>5164</v>
      </c>
      <c r="P136">
        <v>76</v>
      </c>
      <c r="Q136" s="10">
        <f t="shared" si="19"/>
        <v>26.517967781908304</v>
      </c>
      <c r="R136" s="6">
        <f t="shared" si="20"/>
        <v>6.3990086741016112</v>
      </c>
      <c r="S136" s="6">
        <f t="shared" si="21"/>
        <v>5.493617021276596</v>
      </c>
      <c r="T136" s="6">
        <f t="shared" si="22"/>
        <v>143.44444444444446</v>
      </c>
      <c r="U136" s="10">
        <f t="shared" si="23"/>
        <v>0.2610966057441253</v>
      </c>
      <c r="V136" s="6"/>
      <c r="W136" s="6"/>
    </row>
    <row r="137" spans="1:23" x14ac:dyDescent="0.25">
      <c r="A137" t="s">
        <v>34</v>
      </c>
      <c r="B137">
        <v>2020</v>
      </c>
      <c r="C137" s="4">
        <f t="shared" si="16"/>
        <v>43922</v>
      </c>
      <c r="D137">
        <v>4</v>
      </c>
      <c r="E137">
        <v>827</v>
      </c>
      <c r="F137">
        <v>644</v>
      </c>
      <c r="G137" s="1">
        <f t="shared" si="17"/>
        <v>183</v>
      </c>
      <c r="H137">
        <v>888</v>
      </c>
      <c r="I137" s="2">
        <v>0.1419</v>
      </c>
      <c r="J137" s="1">
        <v>5689</v>
      </c>
      <c r="K137" s="3">
        <v>2.5578703703703705E-3</v>
      </c>
      <c r="L137" s="3">
        <f t="shared" si="18"/>
        <v>6.4065315315315319</v>
      </c>
      <c r="M137" s="5">
        <v>0.68</v>
      </c>
      <c r="N137">
        <v>6</v>
      </c>
      <c r="O137" s="7">
        <v>972</v>
      </c>
      <c r="P137">
        <v>12</v>
      </c>
      <c r="Q137" s="10">
        <f t="shared" si="19"/>
        <v>22.128174123337363</v>
      </c>
      <c r="R137" s="6">
        <f t="shared" si="20"/>
        <v>1.1753325272067714</v>
      </c>
      <c r="S137" s="6">
        <f t="shared" si="21"/>
        <v>1.0945945945945945</v>
      </c>
      <c r="T137" s="6">
        <f t="shared" si="22"/>
        <v>162</v>
      </c>
      <c r="U137" s="10">
        <f t="shared" si="23"/>
        <v>1.4705882352941175</v>
      </c>
      <c r="V137" s="6"/>
      <c r="W137" s="6"/>
    </row>
    <row r="138" spans="1:23" x14ac:dyDescent="0.25">
      <c r="A138" t="s">
        <v>32</v>
      </c>
      <c r="B138">
        <v>2020</v>
      </c>
      <c r="C138" s="4">
        <f t="shared" si="16"/>
        <v>44013</v>
      </c>
      <c r="D138">
        <v>7</v>
      </c>
      <c r="E138">
        <v>349</v>
      </c>
      <c r="F138">
        <v>151</v>
      </c>
      <c r="G138" s="1">
        <f t="shared" si="17"/>
        <v>198</v>
      </c>
      <c r="H138">
        <v>882</v>
      </c>
      <c r="I138" s="2">
        <v>0.4909</v>
      </c>
      <c r="J138" s="1">
        <v>1687</v>
      </c>
      <c r="K138" s="3">
        <v>1.5046296296296296E-3</v>
      </c>
      <c r="L138" s="3">
        <f t="shared" si="18"/>
        <v>1.9126984126984128</v>
      </c>
      <c r="M138" s="5">
        <v>17.57</v>
      </c>
      <c r="N138">
        <v>155</v>
      </c>
      <c r="O138" s="7">
        <v>31855</v>
      </c>
      <c r="P138">
        <v>361</v>
      </c>
      <c r="Q138" s="10">
        <f t="shared" si="19"/>
        <v>56.733524355300858</v>
      </c>
      <c r="R138" s="6">
        <f t="shared" si="20"/>
        <v>91.275071633237829</v>
      </c>
      <c r="S138" s="6">
        <f t="shared" si="21"/>
        <v>36.116780045351476</v>
      </c>
      <c r="T138" s="6">
        <f t="shared" si="22"/>
        <v>205.51612903225808</v>
      </c>
      <c r="U138" s="10">
        <f t="shared" si="23"/>
        <v>5.6915196357427429E-2</v>
      </c>
      <c r="V138" s="6"/>
      <c r="W138" s="6"/>
    </row>
    <row r="139" spans="1:23" x14ac:dyDescent="0.25">
      <c r="A139" t="s">
        <v>30</v>
      </c>
      <c r="B139">
        <v>2020</v>
      </c>
      <c r="C139" s="4">
        <f t="shared" si="16"/>
        <v>44013</v>
      </c>
      <c r="D139">
        <v>7</v>
      </c>
      <c r="E139">
        <v>582</v>
      </c>
      <c r="F139">
        <v>362</v>
      </c>
      <c r="G139" s="1">
        <f t="shared" si="17"/>
        <v>220</v>
      </c>
      <c r="H139">
        <v>864</v>
      </c>
      <c r="I139" s="2">
        <v>0.11459999999999999</v>
      </c>
      <c r="J139" s="1">
        <v>2702</v>
      </c>
      <c r="K139" s="3">
        <v>3.1481481481481482E-3</v>
      </c>
      <c r="L139" s="3">
        <f t="shared" si="18"/>
        <v>3.1273148148148149</v>
      </c>
      <c r="M139" s="5">
        <v>40.049999999999997</v>
      </c>
      <c r="N139">
        <v>346</v>
      </c>
      <c r="O139" s="7">
        <v>63057</v>
      </c>
      <c r="P139">
        <v>829</v>
      </c>
      <c r="Q139" s="10">
        <f t="shared" si="19"/>
        <v>37.800687285223368</v>
      </c>
      <c r="R139" s="6">
        <f t="shared" si="20"/>
        <v>108.34536082474227</v>
      </c>
      <c r="S139" s="6">
        <f t="shared" si="21"/>
        <v>72.982638888888886</v>
      </c>
      <c r="T139" s="6">
        <f t="shared" si="22"/>
        <v>182.2456647398844</v>
      </c>
      <c r="U139" s="10">
        <f t="shared" si="23"/>
        <v>2.4968789013732836E-2</v>
      </c>
      <c r="V139" s="6"/>
      <c r="W139" s="6"/>
    </row>
    <row r="140" spans="1:23" x14ac:dyDescent="0.25">
      <c r="A140" t="s">
        <v>33</v>
      </c>
      <c r="B140">
        <v>2019</v>
      </c>
      <c r="C140" s="4">
        <f t="shared" si="16"/>
        <v>43770</v>
      </c>
      <c r="D140">
        <v>11</v>
      </c>
      <c r="E140">
        <v>633</v>
      </c>
      <c r="F140">
        <v>298</v>
      </c>
      <c r="G140" s="1">
        <f t="shared" si="17"/>
        <v>335</v>
      </c>
      <c r="H140">
        <v>861</v>
      </c>
      <c r="I140" s="2">
        <v>0.42509999999999998</v>
      </c>
      <c r="J140" s="1">
        <v>3634</v>
      </c>
      <c r="K140" s="3">
        <v>1.8402777777777777E-3</v>
      </c>
      <c r="L140" s="3">
        <f t="shared" si="18"/>
        <v>4.2206736353077821</v>
      </c>
      <c r="M140" s="5">
        <v>0.23</v>
      </c>
      <c r="N140">
        <v>2</v>
      </c>
      <c r="O140" s="7">
        <v>623</v>
      </c>
      <c r="P140">
        <v>2</v>
      </c>
      <c r="Q140" s="10">
        <f t="shared" si="19"/>
        <v>52.922590837282776</v>
      </c>
      <c r="R140" s="6">
        <f t="shared" si="20"/>
        <v>0.98420221169036337</v>
      </c>
      <c r="S140" s="6">
        <f t="shared" si="21"/>
        <v>0.72357723577235777</v>
      </c>
      <c r="T140" s="6">
        <f t="shared" si="22"/>
        <v>311.5</v>
      </c>
      <c r="U140" s="10">
        <f t="shared" si="23"/>
        <v>4.3478260869565215</v>
      </c>
      <c r="V140" s="6"/>
      <c r="W140" s="6"/>
    </row>
    <row r="141" spans="1:23" x14ac:dyDescent="0.25">
      <c r="A141" t="s">
        <v>30</v>
      </c>
      <c r="B141">
        <v>2019</v>
      </c>
      <c r="C141" s="4">
        <f t="shared" si="16"/>
        <v>43770</v>
      </c>
      <c r="D141">
        <v>11</v>
      </c>
      <c r="E141">
        <v>453</v>
      </c>
      <c r="F141">
        <v>366</v>
      </c>
      <c r="G141" s="1">
        <f t="shared" si="17"/>
        <v>87</v>
      </c>
      <c r="H141">
        <v>819</v>
      </c>
      <c r="I141" s="2">
        <v>0.12939999999999999</v>
      </c>
      <c r="J141" s="1">
        <v>4360</v>
      </c>
      <c r="K141" s="3">
        <v>3.3680555555555556E-3</v>
      </c>
      <c r="L141" s="3">
        <f t="shared" si="18"/>
        <v>5.3235653235653233</v>
      </c>
      <c r="M141" s="5">
        <v>31.38</v>
      </c>
      <c r="N141">
        <v>257</v>
      </c>
      <c r="O141" s="7">
        <v>66600</v>
      </c>
      <c r="P141">
        <v>397</v>
      </c>
      <c r="Q141" s="10">
        <f t="shared" si="19"/>
        <v>19.205298013245034</v>
      </c>
      <c r="R141" s="6">
        <f t="shared" si="20"/>
        <v>147.01986754966887</v>
      </c>
      <c r="S141" s="6">
        <f t="shared" si="21"/>
        <v>81.318681318681314</v>
      </c>
      <c r="T141" s="6">
        <f t="shared" si="22"/>
        <v>259.14396887159535</v>
      </c>
      <c r="U141" s="10">
        <f t="shared" si="23"/>
        <v>3.1867431485022309E-2</v>
      </c>
      <c r="V141" s="6"/>
      <c r="W141" s="6"/>
    </row>
    <row r="142" spans="1:23" hidden="1" x14ac:dyDescent="0.25">
      <c r="A142" t="s">
        <v>37</v>
      </c>
      <c r="B142">
        <v>2019</v>
      </c>
      <c r="C142" s="4">
        <f t="shared" si="16"/>
        <v>43770</v>
      </c>
      <c r="D142">
        <v>11</v>
      </c>
      <c r="E142">
        <v>617</v>
      </c>
      <c r="F142">
        <v>533</v>
      </c>
      <c r="G142" s="1">
        <f t="shared" si="17"/>
        <v>84</v>
      </c>
      <c r="H142">
        <v>802</v>
      </c>
      <c r="I142" s="2">
        <v>0.43140000000000001</v>
      </c>
      <c r="J142" s="1">
        <v>4003</v>
      </c>
      <c r="K142" s="3">
        <v>2.3379629629629631E-3</v>
      </c>
      <c r="L142" s="3">
        <f t="shared" si="18"/>
        <v>4.991271820448878</v>
      </c>
      <c r="M142" s="5">
        <v>0</v>
      </c>
      <c r="N142">
        <v>0</v>
      </c>
      <c r="O142" s="7">
        <v>0</v>
      </c>
      <c r="P142">
        <v>0</v>
      </c>
      <c r="Q142" s="10">
        <f t="shared" si="19"/>
        <v>13.614262560777956</v>
      </c>
      <c r="R142" s="6">
        <f t="shared" si="20"/>
        <v>0</v>
      </c>
      <c r="S142" s="6">
        <f t="shared" si="21"/>
        <v>0</v>
      </c>
      <c r="T142" s="6" t="e">
        <f t="shared" si="22"/>
        <v>#DIV/0!</v>
      </c>
      <c r="U142" s="10" t="e">
        <f t="shared" si="23"/>
        <v>#DIV/0!</v>
      </c>
      <c r="V142" s="6">
        <f>SUMIF(B142:B387,2019,F142:F387)</f>
        <v>8009</v>
      </c>
      <c r="W142" s="6">
        <f>AVERAGEIF($B$2:$B$247,2019,$M$2:$M$247)</f>
        <v>2.9876404494382021</v>
      </c>
    </row>
    <row r="143" spans="1:23" x14ac:dyDescent="0.25">
      <c r="A143" t="s">
        <v>30</v>
      </c>
      <c r="B143">
        <v>2020</v>
      </c>
      <c r="C143" s="4">
        <f t="shared" si="16"/>
        <v>43862</v>
      </c>
      <c r="D143">
        <v>2</v>
      </c>
      <c r="E143">
        <v>410</v>
      </c>
      <c r="F143">
        <v>230</v>
      </c>
      <c r="G143" s="1">
        <f t="shared" si="17"/>
        <v>180</v>
      </c>
      <c r="H143">
        <v>786</v>
      </c>
      <c r="I143" s="2">
        <v>0.33329999999999999</v>
      </c>
      <c r="J143" s="1">
        <v>1642</v>
      </c>
      <c r="K143" s="3">
        <v>2.0833333333333333E-3</v>
      </c>
      <c r="L143" s="3">
        <f t="shared" si="18"/>
        <v>2.0890585241730282</v>
      </c>
      <c r="M143" s="5">
        <v>26.72</v>
      </c>
      <c r="N143">
        <v>210</v>
      </c>
      <c r="O143" s="7">
        <v>38728</v>
      </c>
      <c r="P143">
        <v>329</v>
      </c>
      <c r="Q143" s="10">
        <f t="shared" si="19"/>
        <v>43.902439024390247</v>
      </c>
      <c r="R143" s="6">
        <f t="shared" si="20"/>
        <v>94.458536585365849</v>
      </c>
      <c r="S143" s="6">
        <f t="shared" si="21"/>
        <v>49.272264631043257</v>
      </c>
      <c r="T143" s="6">
        <f t="shared" si="22"/>
        <v>184.41904761904763</v>
      </c>
      <c r="U143" s="10">
        <f t="shared" si="23"/>
        <v>3.7425149700598806E-2</v>
      </c>
      <c r="V143" s="6"/>
      <c r="W143" s="6"/>
    </row>
    <row r="144" spans="1:23" hidden="1" x14ac:dyDescent="0.25">
      <c r="A144" t="s">
        <v>38</v>
      </c>
      <c r="B144">
        <v>2019</v>
      </c>
      <c r="C144" s="4">
        <f t="shared" si="16"/>
        <v>43709</v>
      </c>
      <c r="D144">
        <v>9</v>
      </c>
      <c r="E144">
        <v>743</v>
      </c>
      <c r="F144">
        <v>710</v>
      </c>
      <c r="G144" s="1">
        <f t="shared" si="17"/>
        <v>33</v>
      </c>
      <c r="H144">
        <v>771</v>
      </c>
      <c r="I144" s="2">
        <v>0.63290000000000002</v>
      </c>
      <c r="J144" s="1">
        <v>1581</v>
      </c>
      <c r="K144" s="3">
        <v>2.685185185185185E-3</v>
      </c>
      <c r="L144" s="3">
        <f t="shared" si="18"/>
        <v>2.0505836575875485</v>
      </c>
      <c r="M144" s="5">
        <v>0</v>
      </c>
      <c r="N144">
        <v>0</v>
      </c>
      <c r="O144" s="7">
        <v>0</v>
      </c>
      <c r="P144">
        <v>0</v>
      </c>
      <c r="Q144" s="10">
        <f t="shared" si="19"/>
        <v>4.4414535666218038</v>
      </c>
      <c r="R144" s="6">
        <f t="shared" si="20"/>
        <v>0</v>
      </c>
      <c r="S144" s="6">
        <f t="shared" si="21"/>
        <v>0</v>
      </c>
      <c r="T144" s="6" t="e">
        <f t="shared" si="22"/>
        <v>#DIV/0!</v>
      </c>
      <c r="U144" s="10" t="e">
        <f t="shared" si="23"/>
        <v>#DIV/0!</v>
      </c>
      <c r="V144" s="6">
        <f>SUMIF(B144:B389,2019,F144:F389)</f>
        <v>7476</v>
      </c>
      <c r="W144" s="6">
        <f>AVERAGEIF($B$2:$B$247,2019,$M$2:$M$247)</f>
        <v>2.9876404494382021</v>
      </c>
    </row>
    <row r="145" spans="1:23" x14ac:dyDescent="0.25">
      <c r="A145" t="s">
        <v>15</v>
      </c>
      <c r="B145">
        <v>2019</v>
      </c>
      <c r="C145" s="4">
        <f t="shared" si="16"/>
        <v>43739</v>
      </c>
      <c r="D145">
        <v>10</v>
      </c>
      <c r="E145">
        <v>680</v>
      </c>
      <c r="F145">
        <v>442</v>
      </c>
      <c r="G145" s="1">
        <f t="shared" si="17"/>
        <v>238</v>
      </c>
      <c r="H145">
        <v>748</v>
      </c>
      <c r="I145" s="2">
        <v>0.19650000000000001</v>
      </c>
      <c r="J145" s="1">
        <v>3300</v>
      </c>
      <c r="K145" s="3">
        <v>1.6435185185185185E-3</v>
      </c>
      <c r="L145" s="3">
        <f t="shared" si="18"/>
        <v>4.4117647058823533</v>
      </c>
      <c r="M145" s="5">
        <v>0.53</v>
      </c>
      <c r="N145">
        <v>4</v>
      </c>
      <c r="O145" s="7">
        <v>880</v>
      </c>
      <c r="P145">
        <v>4</v>
      </c>
      <c r="Q145" s="10">
        <f t="shared" si="19"/>
        <v>35</v>
      </c>
      <c r="R145" s="6">
        <f t="shared" si="20"/>
        <v>1.2941176470588236</v>
      </c>
      <c r="S145" s="6">
        <f t="shared" si="21"/>
        <v>1.1764705882352942</v>
      </c>
      <c r="T145" s="6">
        <f t="shared" si="22"/>
        <v>220</v>
      </c>
      <c r="U145" s="10">
        <f t="shared" si="23"/>
        <v>1.8867924528301885</v>
      </c>
      <c r="V145" s="6"/>
      <c r="W145" s="6"/>
    </row>
    <row r="146" spans="1:23" x14ac:dyDescent="0.25">
      <c r="A146" t="s">
        <v>37</v>
      </c>
      <c r="B146">
        <v>2020</v>
      </c>
      <c r="C146" s="4">
        <f t="shared" si="16"/>
        <v>43952</v>
      </c>
      <c r="D146">
        <v>5</v>
      </c>
      <c r="E146">
        <v>616</v>
      </c>
      <c r="F146">
        <v>555</v>
      </c>
      <c r="G146" s="1">
        <f t="shared" si="17"/>
        <v>61</v>
      </c>
      <c r="H146">
        <v>743</v>
      </c>
      <c r="I146" s="2">
        <v>0.47239999999999999</v>
      </c>
      <c r="J146" s="1">
        <v>3958</v>
      </c>
      <c r="K146" s="3">
        <v>2.9050925925925928E-3</v>
      </c>
      <c r="L146" s="3">
        <f t="shared" si="18"/>
        <v>5.3270524899057872</v>
      </c>
      <c r="M146" s="5">
        <v>0.81</v>
      </c>
      <c r="N146">
        <v>6</v>
      </c>
      <c r="O146" s="7">
        <v>897</v>
      </c>
      <c r="P146">
        <v>10</v>
      </c>
      <c r="Q146" s="10">
        <f t="shared" si="19"/>
        <v>9.9025974025974026</v>
      </c>
      <c r="R146" s="6">
        <f t="shared" si="20"/>
        <v>1.4561688311688312</v>
      </c>
      <c r="S146" s="6">
        <f t="shared" si="21"/>
        <v>1.2072678331090174</v>
      </c>
      <c r="T146" s="6">
        <f t="shared" si="22"/>
        <v>149.5</v>
      </c>
      <c r="U146" s="10">
        <f t="shared" si="23"/>
        <v>1.2345679012345678</v>
      </c>
      <c r="V146" s="6"/>
      <c r="W146" s="6"/>
    </row>
    <row r="147" spans="1:23" x14ac:dyDescent="0.25">
      <c r="A147" t="s">
        <v>21</v>
      </c>
      <c r="B147">
        <v>2020</v>
      </c>
      <c r="C147" s="4">
        <f t="shared" si="16"/>
        <v>43831</v>
      </c>
      <c r="D147">
        <v>1</v>
      </c>
      <c r="E147">
        <v>663</v>
      </c>
      <c r="F147">
        <v>433</v>
      </c>
      <c r="G147" s="1">
        <f t="shared" si="17"/>
        <v>230</v>
      </c>
      <c r="H147">
        <v>739</v>
      </c>
      <c r="I147" s="2">
        <v>0.46410000000000001</v>
      </c>
      <c r="J147" s="1">
        <v>4424</v>
      </c>
      <c r="K147" s="3">
        <v>2.2222222222222222E-3</v>
      </c>
      <c r="L147" s="3">
        <f t="shared" si="18"/>
        <v>5.986468200270636</v>
      </c>
      <c r="M147" s="5">
        <v>0.54</v>
      </c>
      <c r="N147">
        <v>4</v>
      </c>
      <c r="O147" s="7">
        <v>773</v>
      </c>
      <c r="P147">
        <v>4</v>
      </c>
      <c r="Q147" s="10">
        <f t="shared" si="19"/>
        <v>34.690799396681747</v>
      </c>
      <c r="R147" s="6">
        <f t="shared" si="20"/>
        <v>1.1659125188536954</v>
      </c>
      <c r="S147" s="6">
        <f t="shared" si="21"/>
        <v>1.0460081190798376</v>
      </c>
      <c r="T147" s="6">
        <f t="shared" si="22"/>
        <v>193.25</v>
      </c>
      <c r="U147" s="10">
        <f t="shared" si="23"/>
        <v>1.8518518518518516</v>
      </c>
      <c r="V147" s="6"/>
      <c r="W147" s="6"/>
    </row>
    <row r="148" spans="1:23" x14ac:dyDescent="0.25">
      <c r="A148" t="s">
        <v>39</v>
      </c>
      <c r="B148">
        <v>2019</v>
      </c>
      <c r="C148" s="4">
        <f t="shared" si="16"/>
        <v>43709</v>
      </c>
      <c r="D148">
        <v>9</v>
      </c>
      <c r="E148">
        <v>255</v>
      </c>
      <c r="F148">
        <v>2</v>
      </c>
      <c r="G148" s="1">
        <f t="shared" si="17"/>
        <v>253</v>
      </c>
      <c r="H148">
        <v>733</v>
      </c>
      <c r="I148" s="2">
        <v>0.80630000000000002</v>
      </c>
      <c r="J148" s="1">
        <v>1376</v>
      </c>
      <c r="K148" s="3">
        <v>7.8703703703703705E-4</v>
      </c>
      <c r="L148" s="3">
        <f t="shared" si="18"/>
        <v>1.8772169167803547</v>
      </c>
      <c r="M148" s="5">
        <v>0.14000000000000001</v>
      </c>
      <c r="N148">
        <v>1</v>
      </c>
      <c r="O148" s="7">
        <v>103</v>
      </c>
      <c r="P148">
        <v>1</v>
      </c>
      <c r="Q148" s="10">
        <f t="shared" si="19"/>
        <v>99.215686274509807</v>
      </c>
      <c r="R148" s="6">
        <f t="shared" si="20"/>
        <v>0.40392156862745099</v>
      </c>
      <c r="S148" s="6">
        <f t="shared" si="21"/>
        <v>0.14051841746248295</v>
      </c>
      <c r="T148" s="6">
        <f t="shared" si="22"/>
        <v>103</v>
      </c>
      <c r="U148" s="10">
        <f t="shared" si="23"/>
        <v>7.1428571428571423</v>
      </c>
      <c r="V148" s="6"/>
      <c r="W148" s="6"/>
    </row>
    <row r="149" spans="1:23" x14ac:dyDescent="0.25">
      <c r="A149" t="s">
        <v>34</v>
      </c>
      <c r="B149">
        <v>2019</v>
      </c>
      <c r="C149" s="4">
        <f t="shared" si="16"/>
        <v>43800</v>
      </c>
      <c r="D149">
        <v>12</v>
      </c>
      <c r="E149">
        <v>618</v>
      </c>
      <c r="F149">
        <v>523</v>
      </c>
      <c r="G149" s="1">
        <f t="shared" si="17"/>
        <v>95</v>
      </c>
      <c r="H149">
        <v>680</v>
      </c>
      <c r="I149" s="2">
        <v>0.1338</v>
      </c>
      <c r="J149" s="1">
        <v>4625</v>
      </c>
      <c r="K149" s="3">
        <v>2.3958333333333331E-3</v>
      </c>
      <c r="L149" s="3">
        <f t="shared" si="18"/>
        <v>6.8014705882352944</v>
      </c>
      <c r="M149" s="5">
        <v>0.28999999999999998</v>
      </c>
      <c r="N149">
        <v>2</v>
      </c>
      <c r="O149" s="7">
        <v>363</v>
      </c>
      <c r="P149">
        <v>4</v>
      </c>
      <c r="Q149" s="10">
        <f t="shared" si="19"/>
        <v>15.372168284789645</v>
      </c>
      <c r="R149" s="6">
        <f t="shared" si="20"/>
        <v>0.58737864077669899</v>
      </c>
      <c r="S149" s="6">
        <f t="shared" si="21"/>
        <v>0.5338235294117647</v>
      </c>
      <c r="T149" s="6">
        <f t="shared" si="22"/>
        <v>181.5</v>
      </c>
      <c r="U149" s="10">
        <f t="shared" si="23"/>
        <v>3.4482758620689657</v>
      </c>
      <c r="V149" s="6"/>
      <c r="W149" s="6"/>
    </row>
    <row r="150" spans="1:23" x14ac:dyDescent="0.25">
      <c r="A150" t="s">
        <v>33</v>
      </c>
      <c r="B150">
        <v>2020</v>
      </c>
      <c r="C150" s="4">
        <f t="shared" si="16"/>
        <v>43922</v>
      </c>
      <c r="D150">
        <v>4</v>
      </c>
      <c r="E150">
        <v>547</v>
      </c>
      <c r="F150">
        <v>277</v>
      </c>
      <c r="G150" s="1">
        <f t="shared" si="17"/>
        <v>270</v>
      </c>
      <c r="H150">
        <v>666</v>
      </c>
      <c r="I150" s="2">
        <v>0.1051</v>
      </c>
      <c r="J150" s="1">
        <v>5878</v>
      </c>
      <c r="K150" s="3">
        <v>4.0393518518518521E-3</v>
      </c>
      <c r="L150" s="3">
        <f t="shared" si="18"/>
        <v>8.8258258258258255</v>
      </c>
      <c r="M150" s="5">
        <v>0.75</v>
      </c>
      <c r="N150">
        <v>5</v>
      </c>
      <c r="O150" s="7">
        <v>541</v>
      </c>
      <c r="P150">
        <v>8</v>
      </c>
      <c r="Q150" s="10">
        <f t="shared" si="19"/>
        <v>49.36014625228519</v>
      </c>
      <c r="R150" s="6">
        <f t="shared" si="20"/>
        <v>0.98903107861060324</v>
      </c>
      <c r="S150" s="6">
        <f t="shared" si="21"/>
        <v>0.81231231231231227</v>
      </c>
      <c r="T150" s="6">
        <f t="shared" si="22"/>
        <v>108.2</v>
      </c>
      <c r="U150" s="10">
        <f t="shared" si="23"/>
        <v>1.3333333333333333</v>
      </c>
      <c r="V150" s="6"/>
      <c r="W150" s="6"/>
    </row>
    <row r="151" spans="1:23" x14ac:dyDescent="0.25">
      <c r="A151" t="s">
        <v>30</v>
      </c>
      <c r="B151">
        <v>2020</v>
      </c>
      <c r="C151" s="4">
        <f t="shared" si="16"/>
        <v>43831</v>
      </c>
      <c r="D151">
        <v>1</v>
      </c>
      <c r="E151">
        <v>336</v>
      </c>
      <c r="F151">
        <v>213</v>
      </c>
      <c r="G151" s="1">
        <f t="shared" si="17"/>
        <v>123</v>
      </c>
      <c r="H151">
        <v>658</v>
      </c>
      <c r="I151" s="2">
        <v>0.25080000000000002</v>
      </c>
      <c r="J151" s="1">
        <v>1539</v>
      </c>
      <c r="K151" s="3">
        <v>2.673611111111111E-3</v>
      </c>
      <c r="L151" s="3">
        <f t="shared" si="18"/>
        <v>2.3389057750759878</v>
      </c>
      <c r="M151" s="5">
        <v>26.6</v>
      </c>
      <c r="N151">
        <v>175</v>
      </c>
      <c r="O151" s="7">
        <v>44790</v>
      </c>
      <c r="P151">
        <v>259</v>
      </c>
      <c r="Q151" s="10">
        <f t="shared" si="19"/>
        <v>36.607142857142854</v>
      </c>
      <c r="R151" s="6">
        <f t="shared" si="20"/>
        <v>133.30357142857142</v>
      </c>
      <c r="S151" s="6">
        <f t="shared" si="21"/>
        <v>68.069908814589667</v>
      </c>
      <c r="T151" s="6">
        <f t="shared" si="22"/>
        <v>255.94285714285715</v>
      </c>
      <c r="U151" s="10">
        <f t="shared" si="23"/>
        <v>3.7593984962406013E-2</v>
      </c>
      <c r="V151" s="6"/>
      <c r="W151" s="6"/>
    </row>
    <row r="152" spans="1:23" x14ac:dyDescent="0.25">
      <c r="A152" t="s">
        <v>23</v>
      </c>
      <c r="B152">
        <v>2020</v>
      </c>
      <c r="C152" s="4">
        <f t="shared" si="16"/>
        <v>44013</v>
      </c>
      <c r="D152">
        <v>7</v>
      </c>
      <c r="E152">
        <v>580</v>
      </c>
      <c r="F152">
        <v>497</v>
      </c>
      <c r="G152" s="1">
        <f t="shared" si="17"/>
        <v>83</v>
      </c>
      <c r="H152">
        <v>650</v>
      </c>
      <c r="I152" s="2">
        <v>0.18920000000000001</v>
      </c>
      <c r="J152" s="1">
        <v>3616</v>
      </c>
      <c r="K152" s="3">
        <v>2.4421296296296296E-3</v>
      </c>
      <c r="L152" s="3">
        <f t="shared" si="18"/>
        <v>5.563076923076923</v>
      </c>
      <c r="M152" s="5">
        <v>0.46</v>
      </c>
      <c r="N152">
        <v>3</v>
      </c>
      <c r="O152" s="7">
        <v>217</v>
      </c>
      <c r="P152">
        <v>6</v>
      </c>
      <c r="Q152" s="10">
        <f t="shared" si="19"/>
        <v>14.310344827586208</v>
      </c>
      <c r="R152" s="6">
        <f t="shared" si="20"/>
        <v>0.37413793103448278</v>
      </c>
      <c r="S152" s="6">
        <f t="shared" si="21"/>
        <v>0.33384615384615385</v>
      </c>
      <c r="T152" s="6">
        <f t="shared" si="22"/>
        <v>72.333333333333329</v>
      </c>
      <c r="U152" s="10">
        <f t="shared" si="23"/>
        <v>2.1739130434782608</v>
      </c>
      <c r="V152" s="6"/>
      <c r="W152" s="6"/>
    </row>
    <row r="153" spans="1:23" x14ac:dyDescent="0.25">
      <c r="A153" t="s">
        <v>23</v>
      </c>
      <c r="B153">
        <v>2020</v>
      </c>
      <c r="C153" s="4">
        <f t="shared" si="16"/>
        <v>44044</v>
      </c>
      <c r="D153">
        <v>8</v>
      </c>
      <c r="E153">
        <v>575</v>
      </c>
      <c r="F153">
        <v>502</v>
      </c>
      <c r="G153" s="1">
        <f t="shared" si="17"/>
        <v>73</v>
      </c>
      <c r="H153">
        <v>648</v>
      </c>
      <c r="I153" s="2">
        <v>0.18060000000000001</v>
      </c>
      <c r="J153" s="1">
        <v>3667</v>
      </c>
      <c r="K153" s="3">
        <v>2.2916666666666667E-3</v>
      </c>
      <c r="L153" s="3">
        <f t="shared" si="18"/>
        <v>5.658950617283951</v>
      </c>
      <c r="M153" s="5">
        <v>0.31</v>
      </c>
      <c r="N153">
        <v>2</v>
      </c>
      <c r="O153" s="7">
        <v>238</v>
      </c>
      <c r="P153">
        <v>4</v>
      </c>
      <c r="Q153" s="10">
        <f t="shared" si="19"/>
        <v>12.695652173913045</v>
      </c>
      <c r="R153" s="6">
        <f t="shared" si="20"/>
        <v>0.41391304347826086</v>
      </c>
      <c r="S153" s="6">
        <f t="shared" si="21"/>
        <v>0.36728395061728397</v>
      </c>
      <c r="T153" s="6">
        <f t="shared" si="22"/>
        <v>119</v>
      </c>
      <c r="U153" s="10">
        <f t="shared" si="23"/>
        <v>3.2258064516129035</v>
      </c>
      <c r="V153" s="6"/>
      <c r="W153" s="6"/>
    </row>
    <row r="154" spans="1:23" x14ac:dyDescent="0.25">
      <c r="A154" t="s">
        <v>21</v>
      </c>
      <c r="B154">
        <v>2020</v>
      </c>
      <c r="C154" s="4">
        <f t="shared" si="16"/>
        <v>43862</v>
      </c>
      <c r="D154">
        <v>2</v>
      </c>
      <c r="E154">
        <v>518</v>
      </c>
      <c r="F154">
        <v>251</v>
      </c>
      <c r="G154" s="1">
        <f t="shared" si="17"/>
        <v>267</v>
      </c>
      <c r="H154">
        <v>646</v>
      </c>
      <c r="I154" s="2">
        <v>0.2833</v>
      </c>
      <c r="J154" s="1">
        <v>4553</v>
      </c>
      <c r="K154" s="3">
        <v>2.9282407407407408E-3</v>
      </c>
      <c r="L154" s="3">
        <f t="shared" si="18"/>
        <v>7.0479876160990713</v>
      </c>
      <c r="M154" s="5">
        <v>2.48</v>
      </c>
      <c r="N154">
        <v>16</v>
      </c>
      <c r="O154" s="7">
        <v>2079</v>
      </c>
      <c r="P154">
        <v>18</v>
      </c>
      <c r="Q154" s="10">
        <f t="shared" si="19"/>
        <v>51.544401544401538</v>
      </c>
      <c r="R154" s="6">
        <f t="shared" si="20"/>
        <v>4.0135135135135132</v>
      </c>
      <c r="S154" s="6">
        <f t="shared" si="21"/>
        <v>3.2182662538699689</v>
      </c>
      <c r="T154" s="6">
        <f t="shared" si="22"/>
        <v>129.9375</v>
      </c>
      <c r="U154" s="10">
        <f t="shared" si="23"/>
        <v>0.40322580645161293</v>
      </c>
      <c r="V154" s="6"/>
      <c r="W154" s="6"/>
    </row>
    <row r="155" spans="1:23" x14ac:dyDescent="0.25">
      <c r="A155" t="s">
        <v>25</v>
      </c>
      <c r="B155">
        <v>2020</v>
      </c>
      <c r="C155" s="4">
        <f t="shared" si="16"/>
        <v>43922</v>
      </c>
      <c r="D155">
        <v>4</v>
      </c>
      <c r="E155">
        <v>615</v>
      </c>
      <c r="F155">
        <v>558</v>
      </c>
      <c r="G155" s="1">
        <f t="shared" si="17"/>
        <v>57</v>
      </c>
      <c r="H155">
        <v>644</v>
      </c>
      <c r="I155" s="2">
        <v>0.84630000000000005</v>
      </c>
      <c r="J155" s="1">
        <v>1397</v>
      </c>
      <c r="K155" s="3">
        <v>7.9861111111111116E-4</v>
      </c>
      <c r="L155" s="3">
        <f t="shared" si="18"/>
        <v>2.1692546583850931</v>
      </c>
      <c r="M155" s="5">
        <v>0.78</v>
      </c>
      <c r="N155">
        <v>5</v>
      </c>
      <c r="O155" s="7">
        <v>792</v>
      </c>
      <c r="P155">
        <v>17</v>
      </c>
      <c r="Q155" s="10">
        <f t="shared" si="19"/>
        <v>9.2682926829268286</v>
      </c>
      <c r="R155" s="6">
        <f t="shared" si="20"/>
        <v>1.2878048780487805</v>
      </c>
      <c r="S155" s="6">
        <f t="shared" si="21"/>
        <v>1.2298136645962734</v>
      </c>
      <c r="T155" s="6">
        <f t="shared" si="22"/>
        <v>158.4</v>
      </c>
      <c r="U155" s="10">
        <f t="shared" si="23"/>
        <v>1.2820512820512819</v>
      </c>
      <c r="V155" s="6"/>
      <c r="W155" s="6"/>
    </row>
    <row r="156" spans="1:23" x14ac:dyDescent="0.25">
      <c r="A156" t="s">
        <v>40</v>
      </c>
      <c r="B156">
        <v>2020</v>
      </c>
      <c r="C156" s="4">
        <f t="shared" si="16"/>
        <v>43952</v>
      </c>
      <c r="D156">
        <v>5</v>
      </c>
      <c r="E156">
        <v>565</v>
      </c>
      <c r="F156">
        <v>402</v>
      </c>
      <c r="G156" s="1">
        <f t="shared" si="17"/>
        <v>163</v>
      </c>
      <c r="H156">
        <v>637</v>
      </c>
      <c r="I156" s="2">
        <v>0.39560000000000001</v>
      </c>
      <c r="J156" s="1">
        <v>3109</v>
      </c>
      <c r="K156" s="3">
        <v>2.3726851851851851E-3</v>
      </c>
      <c r="L156" s="3">
        <f t="shared" si="18"/>
        <v>4.8806907378335946</v>
      </c>
      <c r="M156" s="5">
        <v>5.81</v>
      </c>
      <c r="N156">
        <v>37</v>
      </c>
      <c r="O156" s="7">
        <v>9673</v>
      </c>
      <c r="P156">
        <v>87</v>
      </c>
      <c r="Q156" s="10">
        <f t="shared" si="19"/>
        <v>28.849557522123892</v>
      </c>
      <c r="R156" s="6">
        <f t="shared" si="20"/>
        <v>17.120353982300884</v>
      </c>
      <c r="S156" s="6">
        <f t="shared" si="21"/>
        <v>15.185243328100471</v>
      </c>
      <c r="T156" s="6">
        <f t="shared" si="22"/>
        <v>261.43243243243245</v>
      </c>
      <c r="U156" s="10">
        <f t="shared" si="23"/>
        <v>0.17211703958691912</v>
      </c>
      <c r="V156" s="6"/>
      <c r="W156" s="6"/>
    </row>
    <row r="157" spans="1:23" x14ac:dyDescent="0.25">
      <c r="A157" t="s">
        <v>34</v>
      </c>
      <c r="B157">
        <v>2020</v>
      </c>
      <c r="C157" s="4">
        <f t="shared" si="16"/>
        <v>43831</v>
      </c>
      <c r="D157">
        <v>1</v>
      </c>
      <c r="E157">
        <v>543</v>
      </c>
      <c r="F157">
        <v>408</v>
      </c>
      <c r="G157" s="1">
        <f t="shared" si="17"/>
        <v>135</v>
      </c>
      <c r="H157">
        <v>620</v>
      </c>
      <c r="I157" s="2">
        <v>0.1258</v>
      </c>
      <c r="J157" s="1">
        <v>5096</v>
      </c>
      <c r="K157" s="3">
        <v>2.9398148148148148E-3</v>
      </c>
      <c r="L157" s="3">
        <f t="shared" si="18"/>
        <v>8.2193548387096769</v>
      </c>
      <c r="M157" s="5">
        <v>0.65</v>
      </c>
      <c r="N157">
        <v>4</v>
      </c>
      <c r="O157" s="7">
        <v>507</v>
      </c>
      <c r="P157">
        <v>6</v>
      </c>
      <c r="Q157" s="10">
        <f t="shared" si="19"/>
        <v>24.861878453038674</v>
      </c>
      <c r="R157" s="6">
        <f t="shared" si="20"/>
        <v>0.93370165745856348</v>
      </c>
      <c r="S157" s="6">
        <f t="shared" si="21"/>
        <v>0.81774193548387097</v>
      </c>
      <c r="T157" s="6">
        <f t="shared" si="22"/>
        <v>126.75</v>
      </c>
      <c r="U157" s="10">
        <f t="shared" si="23"/>
        <v>1.5384615384615383</v>
      </c>
      <c r="V157" s="6"/>
      <c r="W157" s="6"/>
    </row>
    <row r="158" spans="1:23" x14ac:dyDescent="0.25">
      <c r="A158" t="s">
        <v>30</v>
      </c>
      <c r="B158">
        <v>2019</v>
      </c>
      <c r="C158" s="4">
        <f t="shared" si="16"/>
        <v>43800</v>
      </c>
      <c r="D158">
        <v>12</v>
      </c>
      <c r="E158">
        <v>375</v>
      </c>
      <c r="F158">
        <v>258</v>
      </c>
      <c r="G158" s="1">
        <f t="shared" si="17"/>
        <v>117</v>
      </c>
      <c r="H158">
        <v>604</v>
      </c>
      <c r="I158" s="2">
        <v>0.1192</v>
      </c>
      <c r="J158" s="1">
        <v>1436</v>
      </c>
      <c r="K158" s="3">
        <v>2.7777777777777779E-3</v>
      </c>
      <c r="L158" s="3">
        <f t="shared" si="18"/>
        <v>2.3774834437086092</v>
      </c>
      <c r="M158" s="5">
        <v>26.66</v>
      </c>
      <c r="N158">
        <v>161</v>
      </c>
      <c r="O158" s="7">
        <v>31449</v>
      </c>
      <c r="P158">
        <v>231</v>
      </c>
      <c r="Q158" s="10">
        <f t="shared" si="19"/>
        <v>31.2</v>
      </c>
      <c r="R158" s="6">
        <f t="shared" si="20"/>
        <v>83.864000000000004</v>
      </c>
      <c r="S158" s="6">
        <f t="shared" si="21"/>
        <v>52.067880794701985</v>
      </c>
      <c r="T158" s="6">
        <f t="shared" si="22"/>
        <v>195.33540372670808</v>
      </c>
      <c r="U158" s="10">
        <f t="shared" si="23"/>
        <v>3.7509377344336084E-2</v>
      </c>
      <c r="V158" s="6"/>
      <c r="W158" s="6"/>
    </row>
    <row r="159" spans="1:23" x14ac:dyDescent="0.25">
      <c r="A159" t="s">
        <v>33</v>
      </c>
      <c r="B159">
        <v>2019</v>
      </c>
      <c r="C159" s="4">
        <f t="shared" si="16"/>
        <v>43800</v>
      </c>
      <c r="D159">
        <v>12</v>
      </c>
      <c r="E159">
        <v>475</v>
      </c>
      <c r="F159">
        <v>243</v>
      </c>
      <c r="G159" s="1">
        <f t="shared" si="17"/>
        <v>232</v>
      </c>
      <c r="H159">
        <v>598</v>
      </c>
      <c r="I159" s="2">
        <v>0.31940000000000002</v>
      </c>
      <c r="J159" s="1">
        <v>3164</v>
      </c>
      <c r="K159" s="3">
        <v>2.3379629629629631E-3</v>
      </c>
      <c r="L159" s="3">
        <f t="shared" si="18"/>
        <v>5.2909698996655514</v>
      </c>
      <c r="M159" s="5">
        <v>0.17</v>
      </c>
      <c r="N159">
        <v>1</v>
      </c>
      <c r="O159" s="7">
        <v>110</v>
      </c>
      <c r="P159">
        <v>1</v>
      </c>
      <c r="Q159" s="10">
        <f t="shared" si="19"/>
        <v>48.84210526315789</v>
      </c>
      <c r="R159" s="6">
        <f t="shared" si="20"/>
        <v>0.23157894736842105</v>
      </c>
      <c r="S159" s="6">
        <f t="shared" si="21"/>
        <v>0.18394648829431437</v>
      </c>
      <c r="T159" s="6">
        <f t="shared" si="22"/>
        <v>110</v>
      </c>
      <c r="U159" s="10">
        <f t="shared" si="23"/>
        <v>5.8823529411764701</v>
      </c>
      <c r="V159" s="6"/>
      <c r="W159" s="6"/>
    </row>
    <row r="160" spans="1:23" x14ac:dyDescent="0.25">
      <c r="A160" t="s">
        <v>37</v>
      </c>
      <c r="B160">
        <v>2020</v>
      </c>
      <c r="C160" s="4">
        <f t="shared" si="16"/>
        <v>43983</v>
      </c>
      <c r="D160">
        <v>6</v>
      </c>
      <c r="E160">
        <v>488</v>
      </c>
      <c r="F160">
        <v>433</v>
      </c>
      <c r="G160" s="1">
        <f t="shared" si="17"/>
        <v>55</v>
      </c>
      <c r="H160">
        <v>596</v>
      </c>
      <c r="I160" s="2">
        <v>0.4849</v>
      </c>
      <c r="J160" s="1">
        <v>2108</v>
      </c>
      <c r="K160" s="3">
        <v>2.0833333333333333E-3</v>
      </c>
      <c r="L160" s="3">
        <f t="shared" si="18"/>
        <v>3.5369127516778525</v>
      </c>
      <c r="M160" s="5">
        <v>0.67</v>
      </c>
      <c r="N160">
        <v>4</v>
      </c>
      <c r="O160" s="7">
        <v>586</v>
      </c>
      <c r="P160">
        <v>5</v>
      </c>
      <c r="Q160" s="10">
        <f t="shared" si="19"/>
        <v>11.270491803278688</v>
      </c>
      <c r="R160" s="6">
        <f t="shared" si="20"/>
        <v>1.2008196721311475</v>
      </c>
      <c r="S160" s="6">
        <f t="shared" si="21"/>
        <v>0.98322147651006708</v>
      </c>
      <c r="T160" s="6">
        <f t="shared" si="22"/>
        <v>146.5</v>
      </c>
      <c r="U160" s="10">
        <f t="shared" si="23"/>
        <v>1.4925373134328357</v>
      </c>
      <c r="V160" s="6"/>
      <c r="W160" s="6"/>
    </row>
    <row r="161" spans="1:23" hidden="1" x14ac:dyDescent="0.25">
      <c r="A161" t="s">
        <v>37</v>
      </c>
      <c r="B161">
        <v>2020</v>
      </c>
      <c r="C161" s="4">
        <f t="shared" si="16"/>
        <v>43831</v>
      </c>
      <c r="D161">
        <v>1</v>
      </c>
      <c r="E161">
        <v>475</v>
      </c>
      <c r="F161">
        <v>416</v>
      </c>
      <c r="G161" s="1">
        <f t="shared" si="17"/>
        <v>59</v>
      </c>
      <c r="H161">
        <v>573</v>
      </c>
      <c r="I161" s="2">
        <v>0.49209999999999998</v>
      </c>
      <c r="J161" s="1">
        <v>2300</v>
      </c>
      <c r="K161" s="3">
        <v>2.1296296296296298E-3</v>
      </c>
      <c r="L161" s="3">
        <f t="shared" si="18"/>
        <v>4.0139616055846421</v>
      </c>
      <c r="M161" s="5">
        <v>0</v>
      </c>
      <c r="N161">
        <v>0</v>
      </c>
      <c r="O161" s="7">
        <v>0</v>
      </c>
      <c r="P161">
        <v>0</v>
      </c>
      <c r="Q161" s="10">
        <f t="shared" si="19"/>
        <v>12.421052631578949</v>
      </c>
      <c r="R161" s="6">
        <f t="shared" si="20"/>
        <v>0</v>
      </c>
      <c r="S161" s="6">
        <f t="shared" si="21"/>
        <v>0</v>
      </c>
      <c r="T161" s="6" t="e">
        <f t="shared" si="22"/>
        <v>#DIV/0!</v>
      </c>
      <c r="U161" s="10" t="e">
        <f t="shared" si="23"/>
        <v>#DIV/0!</v>
      </c>
      <c r="V161" s="6">
        <f>SUMIF(B161:B406,2019,F161:F406)</f>
        <v>5298</v>
      </c>
      <c r="W161" s="6">
        <f>AVERAGEIF($B$2:$B$247,2019,$M$2:$M$247)</f>
        <v>2.9876404494382021</v>
      </c>
    </row>
    <row r="162" spans="1:23" x14ac:dyDescent="0.25">
      <c r="A162" t="s">
        <v>23</v>
      </c>
      <c r="B162">
        <v>2020</v>
      </c>
      <c r="C162" s="4">
        <f t="shared" si="16"/>
        <v>43952</v>
      </c>
      <c r="D162">
        <v>5</v>
      </c>
      <c r="E162">
        <v>486</v>
      </c>
      <c r="F162">
        <v>344</v>
      </c>
      <c r="G162" s="1">
        <f t="shared" si="17"/>
        <v>142</v>
      </c>
      <c r="H162">
        <v>569</v>
      </c>
      <c r="I162" s="2">
        <v>0.3427</v>
      </c>
      <c r="J162" s="1">
        <v>2628</v>
      </c>
      <c r="K162" s="3">
        <v>1.6550925925925926E-3</v>
      </c>
      <c r="L162" s="3">
        <f t="shared" si="18"/>
        <v>4.6186291739894552</v>
      </c>
      <c r="M162" s="5">
        <v>0.53</v>
      </c>
      <c r="N162">
        <v>3</v>
      </c>
      <c r="O162" s="7">
        <v>378</v>
      </c>
      <c r="P162">
        <v>6</v>
      </c>
      <c r="Q162" s="10">
        <f t="shared" si="19"/>
        <v>29.218106995884774</v>
      </c>
      <c r="R162" s="6">
        <f t="shared" si="20"/>
        <v>0.77777777777777779</v>
      </c>
      <c r="S162" s="6">
        <f t="shared" si="21"/>
        <v>0.66432337434094901</v>
      </c>
      <c r="T162" s="6">
        <f t="shared" si="22"/>
        <v>126</v>
      </c>
      <c r="U162" s="10">
        <f t="shared" si="23"/>
        <v>1.8867924528301885</v>
      </c>
      <c r="V162" s="6"/>
      <c r="W162" s="6"/>
    </row>
    <row r="163" spans="1:23" x14ac:dyDescent="0.25">
      <c r="A163" t="s">
        <v>37</v>
      </c>
      <c r="B163">
        <v>2020</v>
      </c>
      <c r="C163" s="4">
        <f t="shared" si="16"/>
        <v>43922</v>
      </c>
      <c r="D163">
        <v>4</v>
      </c>
      <c r="E163">
        <v>428</v>
      </c>
      <c r="F163">
        <v>385</v>
      </c>
      <c r="G163" s="1">
        <f t="shared" si="17"/>
        <v>43</v>
      </c>
      <c r="H163">
        <v>564</v>
      </c>
      <c r="I163" s="2">
        <v>0.51060000000000005</v>
      </c>
      <c r="J163" s="1">
        <v>2263</v>
      </c>
      <c r="K163" s="3">
        <v>2.0254629629629629E-3</v>
      </c>
      <c r="L163" s="3">
        <f t="shared" si="18"/>
        <v>4.0124113475177303</v>
      </c>
      <c r="M163" s="5">
        <v>0.35</v>
      </c>
      <c r="N163">
        <v>2</v>
      </c>
      <c r="O163" s="7">
        <v>266</v>
      </c>
      <c r="P163">
        <v>2</v>
      </c>
      <c r="Q163" s="10">
        <f t="shared" si="19"/>
        <v>10.046728971962617</v>
      </c>
      <c r="R163" s="6">
        <f t="shared" si="20"/>
        <v>0.62149532710280375</v>
      </c>
      <c r="S163" s="6">
        <f t="shared" si="21"/>
        <v>0.47163120567375888</v>
      </c>
      <c r="T163" s="6">
        <f t="shared" si="22"/>
        <v>133</v>
      </c>
      <c r="U163" s="10">
        <f t="shared" si="23"/>
        <v>2.8571428571428572</v>
      </c>
      <c r="V163" s="6"/>
      <c r="W163" s="6"/>
    </row>
    <row r="164" spans="1:23" x14ac:dyDescent="0.25">
      <c r="A164" t="s">
        <v>37</v>
      </c>
      <c r="B164">
        <v>2020</v>
      </c>
      <c r="C164" s="4">
        <f t="shared" si="16"/>
        <v>43862</v>
      </c>
      <c r="D164">
        <v>2</v>
      </c>
      <c r="E164">
        <v>453</v>
      </c>
      <c r="F164">
        <v>404</v>
      </c>
      <c r="G164" s="1">
        <f t="shared" si="17"/>
        <v>49</v>
      </c>
      <c r="H164">
        <v>562</v>
      </c>
      <c r="I164" s="2">
        <v>0.5071</v>
      </c>
      <c r="J164" s="1">
        <v>2264</v>
      </c>
      <c r="K164" s="3">
        <v>1.9675925925925924E-3</v>
      </c>
      <c r="L164" s="3">
        <f t="shared" si="18"/>
        <v>4.0284697508896796</v>
      </c>
      <c r="M164" s="5">
        <v>0.71</v>
      </c>
      <c r="N164">
        <v>4</v>
      </c>
      <c r="O164" s="7">
        <v>886</v>
      </c>
      <c r="P164">
        <v>4</v>
      </c>
      <c r="Q164" s="10">
        <f t="shared" si="19"/>
        <v>10.816777041942604</v>
      </c>
      <c r="R164" s="6">
        <f t="shared" si="20"/>
        <v>1.9558498896247241</v>
      </c>
      <c r="S164" s="6">
        <f t="shared" si="21"/>
        <v>1.5765124555160142</v>
      </c>
      <c r="T164" s="6">
        <f t="shared" si="22"/>
        <v>221.5</v>
      </c>
      <c r="U164" s="10">
        <f t="shared" si="23"/>
        <v>1.4084507042253522</v>
      </c>
      <c r="V164" s="6"/>
      <c r="W164" s="6"/>
    </row>
    <row r="165" spans="1:23" x14ac:dyDescent="0.25">
      <c r="A165" t="s">
        <v>37</v>
      </c>
      <c r="B165">
        <v>2019</v>
      </c>
      <c r="C165" s="4">
        <f t="shared" si="16"/>
        <v>43739</v>
      </c>
      <c r="D165">
        <v>10</v>
      </c>
      <c r="E165">
        <v>464</v>
      </c>
      <c r="F165">
        <v>382</v>
      </c>
      <c r="G165" s="1">
        <f t="shared" si="17"/>
        <v>82</v>
      </c>
      <c r="H165">
        <v>560</v>
      </c>
      <c r="I165" s="2">
        <v>0.3125</v>
      </c>
      <c r="J165" s="1">
        <v>2602</v>
      </c>
      <c r="K165" s="3">
        <v>2.0486111111111113E-3</v>
      </c>
      <c r="L165" s="3">
        <f t="shared" si="18"/>
        <v>4.6464285714285714</v>
      </c>
      <c r="M165" s="5">
        <v>0.36</v>
      </c>
      <c r="N165">
        <v>2</v>
      </c>
      <c r="O165" s="7">
        <v>367</v>
      </c>
      <c r="P165">
        <v>3</v>
      </c>
      <c r="Q165" s="10">
        <f t="shared" si="19"/>
        <v>17.672413793103448</v>
      </c>
      <c r="R165" s="6">
        <f t="shared" si="20"/>
        <v>0.79094827586206895</v>
      </c>
      <c r="S165" s="6">
        <f t="shared" si="21"/>
        <v>0.65535714285714286</v>
      </c>
      <c r="T165" s="6">
        <f t="shared" si="22"/>
        <v>183.5</v>
      </c>
      <c r="U165" s="10">
        <f t="shared" si="23"/>
        <v>2.7777777777777777</v>
      </c>
      <c r="V165" s="6"/>
      <c r="W165" s="6"/>
    </row>
    <row r="166" spans="1:23" x14ac:dyDescent="0.25">
      <c r="A166" t="s">
        <v>37</v>
      </c>
      <c r="B166">
        <v>2019</v>
      </c>
      <c r="C166" s="4">
        <f t="shared" si="16"/>
        <v>43800</v>
      </c>
      <c r="D166">
        <v>12</v>
      </c>
      <c r="E166">
        <v>448</v>
      </c>
      <c r="F166">
        <v>375</v>
      </c>
      <c r="G166" s="1">
        <f t="shared" si="17"/>
        <v>73</v>
      </c>
      <c r="H166">
        <v>554</v>
      </c>
      <c r="I166" s="2">
        <v>0.43319999999999997</v>
      </c>
      <c r="J166" s="1">
        <v>3014</v>
      </c>
      <c r="K166" s="3">
        <v>2.650462962962963E-3</v>
      </c>
      <c r="L166" s="3">
        <f t="shared" si="18"/>
        <v>5.4404332129963899</v>
      </c>
      <c r="M166" s="5">
        <v>0.72</v>
      </c>
      <c r="N166">
        <v>4</v>
      </c>
      <c r="O166" s="7">
        <v>318</v>
      </c>
      <c r="P166">
        <v>5</v>
      </c>
      <c r="Q166" s="10">
        <f t="shared" si="19"/>
        <v>16.294642857142858</v>
      </c>
      <c r="R166" s="6">
        <f t="shared" si="20"/>
        <v>0.7098214285714286</v>
      </c>
      <c r="S166" s="6">
        <f t="shared" si="21"/>
        <v>0.57400722021660655</v>
      </c>
      <c r="T166" s="6">
        <f t="shared" si="22"/>
        <v>79.5</v>
      </c>
      <c r="U166" s="10">
        <f t="shared" si="23"/>
        <v>1.3888888888888888</v>
      </c>
      <c r="V166" s="6"/>
      <c r="W166" s="6"/>
    </row>
    <row r="167" spans="1:23" x14ac:dyDescent="0.25">
      <c r="A167" t="s">
        <v>35</v>
      </c>
      <c r="B167">
        <v>2020</v>
      </c>
      <c r="C167" s="4">
        <f t="shared" si="16"/>
        <v>43862</v>
      </c>
      <c r="D167">
        <v>2</v>
      </c>
      <c r="E167">
        <v>497</v>
      </c>
      <c r="F167">
        <v>471</v>
      </c>
      <c r="G167" s="1">
        <f t="shared" si="17"/>
        <v>26</v>
      </c>
      <c r="H167">
        <v>534</v>
      </c>
      <c r="I167" s="2">
        <v>0.53369999999999995</v>
      </c>
      <c r="J167" s="1">
        <v>1281</v>
      </c>
      <c r="K167" s="3">
        <v>8.1018518518518516E-4</v>
      </c>
      <c r="L167" s="3">
        <f t="shared" si="18"/>
        <v>2.398876404494382</v>
      </c>
      <c r="M167" s="5">
        <v>0.19</v>
      </c>
      <c r="N167">
        <v>1</v>
      </c>
      <c r="O167" s="7">
        <v>55</v>
      </c>
      <c r="P167">
        <v>1</v>
      </c>
      <c r="Q167" s="10">
        <f t="shared" si="19"/>
        <v>5.2313883299798798</v>
      </c>
      <c r="R167" s="6">
        <f t="shared" si="20"/>
        <v>0.11066398390342053</v>
      </c>
      <c r="S167" s="6">
        <f t="shared" si="21"/>
        <v>0.10299625468164794</v>
      </c>
      <c r="T167" s="6">
        <f t="shared" si="22"/>
        <v>55</v>
      </c>
      <c r="U167" s="10">
        <f t="shared" si="23"/>
        <v>5.2631578947368425</v>
      </c>
      <c r="V167" s="6"/>
      <c r="W167" s="6"/>
    </row>
    <row r="168" spans="1:23" x14ac:dyDescent="0.25">
      <c r="A168" t="s">
        <v>30</v>
      </c>
      <c r="B168">
        <v>2019</v>
      </c>
      <c r="C168" s="4">
        <f t="shared" si="16"/>
        <v>43739</v>
      </c>
      <c r="D168">
        <v>10</v>
      </c>
      <c r="E168">
        <v>319</v>
      </c>
      <c r="F168">
        <v>237</v>
      </c>
      <c r="G168" s="1">
        <f t="shared" si="17"/>
        <v>82</v>
      </c>
      <c r="H168">
        <v>530</v>
      </c>
      <c r="I168" s="2">
        <v>6.9800000000000001E-2</v>
      </c>
      <c r="J168" s="1">
        <v>2883</v>
      </c>
      <c r="K168" s="3">
        <v>3.3333333333333335E-3</v>
      </c>
      <c r="L168" s="3">
        <f t="shared" si="18"/>
        <v>5.439622641509434</v>
      </c>
      <c r="M168" s="5">
        <v>42.08</v>
      </c>
      <c r="N168">
        <v>223</v>
      </c>
      <c r="O168" s="7">
        <v>52544</v>
      </c>
      <c r="P168">
        <v>353</v>
      </c>
      <c r="Q168" s="10">
        <f t="shared" si="19"/>
        <v>25.705329153605017</v>
      </c>
      <c r="R168" s="6">
        <f t="shared" si="20"/>
        <v>164.71473354231975</v>
      </c>
      <c r="S168" s="6">
        <f t="shared" si="21"/>
        <v>99.139622641509433</v>
      </c>
      <c r="T168" s="6">
        <f t="shared" si="22"/>
        <v>235.62331838565024</v>
      </c>
      <c r="U168" s="10">
        <f t="shared" si="23"/>
        <v>2.3764258555133082E-2</v>
      </c>
      <c r="V168" s="6"/>
      <c r="W168" s="6"/>
    </row>
    <row r="169" spans="1:23" hidden="1" x14ac:dyDescent="0.25">
      <c r="A169" t="s">
        <v>34</v>
      </c>
      <c r="B169">
        <v>2019</v>
      </c>
      <c r="C169" s="4">
        <f t="shared" si="16"/>
        <v>43770</v>
      </c>
      <c r="D169">
        <v>11</v>
      </c>
      <c r="E169">
        <v>441</v>
      </c>
      <c r="F169">
        <v>371</v>
      </c>
      <c r="G169" s="1">
        <f t="shared" si="17"/>
        <v>70</v>
      </c>
      <c r="H169">
        <v>512</v>
      </c>
      <c r="I169" s="2">
        <v>0.15040000000000001</v>
      </c>
      <c r="J169" s="1">
        <v>3416</v>
      </c>
      <c r="K169" s="3">
        <v>2.8124999999999999E-3</v>
      </c>
      <c r="L169" s="3">
        <f t="shared" si="18"/>
        <v>6.671875</v>
      </c>
      <c r="M169" s="5">
        <v>0</v>
      </c>
      <c r="N169">
        <v>0</v>
      </c>
      <c r="O169" s="7">
        <v>0</v>
      </c>
      <c r="P169">
        <v>0</v>
      </c>
      <c r="Q169" s="10">
        <f t="shared" si="19"/>
        <v>15.873015873015872</v>
      </c>
      <c r="R169" s="6">
        <f t="shared" si="20"/>
        <v>0</v>
      </c>
      <c r="S169" s="6">
        <f t="shared" si="21"/>
        <v>0</v>
      </c>
      <c r="T169" s="6" t="e">
        <f t="shared" si="22"/>
        <v>#DIV/0!</v>
      </c>
      <c r="U169" s="10" t="e">
        <f t="shared" si="23"/>
        <v>#DIV/0!</v>
      </c>
      <c r="V169" s="6">
        <f>SUMIF(B169:B414,2019,F169:F414)</f>
        <v>4304</v>
      </c>
      <c r="W169" s="6">
        <f>AVERAGEIF($B$2:$B$247,2019,$M$2:$M$247)</f>
        <v>2.9876404494382021</v>
      </c>
    </row>
    <row r="170" spans="1:23" x14ac:dyDescent="0.25">
      <c r="A170" t="s">
        <v>34</v>
      </c>
      <c r="B170">
        <v>2020</v>
      </c>
      <c r="C170" s="4">
        <f t="shared" si="16"/>
        <v>43862</v>
      </c>
      <c r="D170">
        <v>2</v>
      </c>
      <c r="E170">
        <v>436</v>
      </c>
      <c r="F170">
        <v>346</v>
      </c>
      <c r="G170" s="1">
        <f t="shared" si="17"/>
        <v>90</v>
      </c>
      <c r="H170">
        <v>505</v>
      </c>
      <c r="I170" s="2">
        <v>0.12670000000000001</v>
      </c>
      <c r="J170" s="1">
        <v>3266</v>
      </c>
      <c r="K170" s="3">
        <v>2.7199074074074074E-3</v>
      </c>
      <c r="L170" s="3">
        <f t="shared" si="18"/>
        <v>6.4673267326732677</v>
      </c>
      <c r="M170" s="5">
        <v>0.2</v>
      </c>
      <c r="N170">
        <v>1</v>
      </c>
      <c r="O170" s="7">
        <v>97</v>
      </c>
      <c r="P170">
        <v>1</v>
      </c>
      <c r="Q170" s="10">
        <f t="shared" si="19"/>
        <v>20.642201834862387</v>
      </c>
      <c r="R170" s="6">
        <f t="shared" si="20"/>
        <v>0.22247706422018348</v>
      </c>
      <c r="S170" s="6">
        <f t="shared" si="21"/>
        <v>0.19207920792079208</v>
      </c>
      <c r="T170" s="6">
        <f t="shared" si="22"/>
        <v>97</v>
      </c>
      <c r="U170" s="10">
        <f t="shared" si="23"/>
        <v>5</v>
      </c>
      <c r="V170" s="6"/>
      <c r="W170" s="6"/>
    </row>
    <row r="171" spans="1:23" x14ac:dyDescent="0.25">
      <c r="A171" t="s">
        <v>41</v>
      </c>
      <c r="B171">
        <v>2020</v>
      </c>
      <c r="C171" s="4">
        <f t="shared" si="16"/>
        <v>44044</v>
      </c>
      <c r="D171">
        <v>8</v>
      </c>
      <c r="E171">
        <v>320</v>
      </c>
      <c r="F171">
        <v>209</v>
      </c>
      <c r="G171" s="1">
        <f t="shared" si="17"/>
        <v>111</v>
      </c>
      <c r="H171">
        <v>503</v>
      </c>
      <c r="I171" s="2">
        <v>0.41149999999999998</v>
      </c>
      <c r="J171" s="1">
        <v>2357</v>
      </c>
      <c r="K171" s="3">
        <v>3.7268518518518519E-3</v>
      </c>
      <c r="L171" s="3">
        <f t="shared" si="18"/>
        <v>4.6858846918489068</v>
      </c>
      <c r="M171" s="5">
        <v>1.79</v>
      </c>
      <c r="N171">
        <v>9</v>
      </c>
      <c r="O171" s="7">
        <v>1307</v>
      </c>
      <c r="P171">
        <v>10</v>
      </c>
      <c r="Q171" s="10">
        <f t="shared" si="19"/>
        <v>34.6875</v>
      </c>
      <c r="R171" s="6">
        <f t="shared" si="20"/>
        <v>4.0843749999999996</v>
      </c>
      <c r="S171" s="6">
        <f t="shared" si="21"/>
        <v>2.5984095427435387</v>
      </c>
      <c r="T171" s="6">
        <f t="shared" si="22"/>
        <v>145.22222222222223</v>
      </c>
      <c r="U171" s="10">
        <f t="shared" si="23"/>
        <v>0.55865921787709494</v>
      </c>
      <c r="V171" s="6"/>
      <c r="W171" s="6"/>
    </row>
    <row r="172" spans="1:23" hidden="1" x14ac:dyDescent="0.25">
      <c r="A172" t="s">
        <v>25</v>
      </c>
      <c r="B172">
        <v>2020</v>
      </c>
      <c r="C172" s="4">
        <f t="shared" si="16"/>
        <v>43831</v>
      </c>
      <c r="D172">
        <v>1</v>
      </c>
      <c r="E172">
        <v>490</v>
      </c>
      <c r="F172">
        <v>467</v>
      </c>
      <c r="G172" s="1">
        <f t="shared" si="17"/>
        <v>23</v>
      </c>
      <c r="H172">
        <v>497</v>
      </c>
      <c r="I172" s="2">
        <v>0.91749999999999998</v>
      </c>
      <c r="J172">
        <v>748</v>
      </c>
      <c r="K172" s="3">
        <v>2.6620370370370372E-4</v>
      </c>
      <c r="L172" s="3">
        <f t="shared" si="18"/>
        <v>1.5050301810865192</v>
      </c>
      <c r="M172" s="5">
        <v>0</v>
      </c>
      <c r="N172">
        <v>0</v>
      </c>
      <c r="O172" s="7">
        <v>0</v>
      </c>
      <c r="P172">
        <v>0</v>
      </c>
      <c r="Q172" s="10">
        <f t="shared" si="19"/>
        <v>4.6938775510204085</v>
      </c>
      <c r="R172" s="6">
        <f t="shared" si="20"/>
        <v>0</v>
      </c>
      <c r="S172" s="6">
        <f t="shared" si="21"/>
        <v>0</v>
      </c>
      <c r="T172" s="6" t="e">
        <f t="shared" si="22"/>
        <v>#DIV/0!</v>
      </c>
      <c r="U172" s="10" t="e">
        <f t="shared" si="23"/>
        <v>#DIV/0!</v>
      </c>
      <c r="V172" s="6">
        <f>SUMIF(B172:B417,2019,F172:F417)</f>
        <v>3933</v>
      </c>
      <c r="W172" s="6">
        <f>AVERAGEIF($B$2:$B$247,2019,$M$2:$M$247)</f>
        <v>2.9876404494382021</v>
      </c>
    </row>
    <row r="173" spans="1:23" hidden="1" x14ac:dyDescent="0.25">
      <c r="A173" t="s">
        <v>34</v>
      </c>
      <c r="B173">
        <v>2019</v>
      </c>
      <c r="C173" s="4">
        <f t="shared" si="16"/>
        <v>43709</v>
      </c>
      <c r="D173">
        <v>9</v>
      </c>
      <c r="E173">
        <v>441</v>
      </c>
      <c r="F173">
        <v>401</v>
      </c>
      <c r="G173" s="1">
        <f t="shared" si="17"/>
        <v>40</v>
      </c>
      <c r="H173">
        <v>481</v>
      </c>
      <c r="I173" s="2">
        <v>0.14349999999999999</v>
      </c>
      <c r="J173" s="1">
        <v>2614</v>
      </c>
      <c r="K173" s="3">
        <v>1.8981481481481482E-3</v>
      </c>
      <c r="L173" s="3">
        <f t="shared" si="18"/>
        <v>5.4345114345114345</v>
      </c>
      <c r="M173" s="5">
        <v>0</v>
      </c>
      <c r="N173">
        <v>0</v>
      </c>
      <c r="O173" s="7">
        <v>0</v>
      </c>
      <c r="P173">
        <v>0</v>
      </c>
      <c r="Q173" s="10">
        <f t="shared" si="19"/>
        <v>9.0702947845804989</v>
      </c>
      <c r="R173" s="6">
        <f t="shared" si="20"/>
        <v>0</v>
      </c>
      <c r="S173" s="6">
        <f t="shared" si="21"/>
        <v>0</v>
      </c>
      <c r="T173" s="6" t="e">
        <f t="shared" si="22"/>
        <v>#DIV/0!</v>
      </c>
      <c r="U173" s="10" t="e">
        <f t="shared" si="23"/>
        <v>#DIV/0!</v>
      </c>
      <c r="V173" s="6">
        <f>SUMIF(B173:B418,2019,F173:F418)</f>
        <v>3933</v>
      </c>
      <c r="W173" s="6">
        <f>AVERAGEIF($B$2:$B$247,2019,$M$2:$M$247)</f>
        <v>2.9876404494382021</v>
      </c>
    </row>
    <row r="174" spans="1:23" hidden="1" x14ac:dyDescent="0.25">
      <c r="A174" t="s">
        <v>38</v>
      </c>
      <c r="B174">
        <v>2019</v>
      </c>
      <c r="C174" s="4">
        <f t="shared" si="16"/>
        <v>43770</v>
      </c>
      <c r="D174">
        <v>11</v>
      </c>
      <c r="E174">
        <v>434</v>
      </c>
      <c r="F174">
        <v>391</v>
      </c>
      <c r="G174" s="1">
        <f t="shared" si="17"/>
        <v>43</v>
      </c>
      <c r="H174">
        <v>481</v>
      </c>
      <c r="I174" s="2">
        <v>0.62790000000000001</v>
      </c>
      <c r="J174" s="1">
        <v>1171</v>
      </c>
      <c r="K174" s="3">
        <v>1.2152777777777778E-3</v>
      </c>
      <c r="L174" s="3">
        <f t="shared" si="18"/>
        <v>2.4345114345114345</v>
      </c>
      <c r="M174" s="5">
        <v>0</v>
      </c>
      <c r="N174">
        <v>0</v>
      </c>
      <c r="O174" s="7">
        <v>0</v>
      </c>
      <c r="P174">
        <v>0</v>
      </c>
      <c r="Q174" s="10">
        <f t="shared" si="19"/>
        <v>9.9078341013824893</v>
      </c>
      <c r="R174" s="6">
        <f t="shared" si="20"/>
        <v>0</v>
      </c>
      <c r="S174" s="6">
        <f t="shared" si="21"/>
        <v>0</v>
      </c>
      <c r="T174" s="6" t="e">
        <f t="shared" si="22"/>
        <v>#DIV/0!</v>
      </c>
      <c r="U174" s="10" t="e">
        <f t="shared" si="23"/>
        <v>#DIV/0!</v>
      </c>
      <c r="V174" s="6">
        <f>SUMIF(B174:B419,2019,F174:F419)</f>
        <v>3532</v>
      </c>
      <c r="W174" s="6">
        <f>AVERAGEIF($B$2:$B$247,2019,$M$2:$M$247)</f>
        <v>2.9876404494382021</v>
      </c>
    </row>
    <row r="175" spans="1:23" x14ac:dyDescent="0.25">
      <c r="A175" t="s">
        <v>34</v>
      </c>
      <c r="B175">
        <v>2019</v>
      </c>
      <c r="C175" s="4">
        <f t="shared" si="16"/>
        <v>43739</v>
      </c>
      <c r="D175">
        <v>10</v>
      </c>
      <c r="E175">
        <v>385</v>
      </c>
      <c r="F175">
        <v>339</v>
      </c>
      <c r="G175" s="1">
        <f t="shared" si="17"/>
        <v>46</v>
      </c>
      <c r="H175">
        <v>479</v>
      </c>
      <c r="I175" s="2">
        <v>0.1336</v>
      </c>
      <c r="J175" s="1">
        <v>2794</v>
      </c>
      <c r="K175" s="3">
        <v>3.1018518518518517E-3</v>
      </c>
      <c r="L175" s="3">
        <f t="shared" si="18"/>
        <v>5.8329853862212939</v>
      </c>
      <c r="M175" s="5">
        <v>0.42</v>
      </c>
      <c r="N175">
        <v>2</v>
      </c>
      <c r="O175" s="7">
        <v>348</v>
      </c>
      <c r="P175">
        <v>2</v>
      </c>
      <c r="Q175" s="10">
        <f t="shared" si="19"/>
        <v>11.948051948051948</v>
      </c>
      <c r="R175" s="6">
        <f t="shared" si="20"/>
        <v>0.90389610389610386</v>
      </c>
      <c r="S175" s="6">
        <f t="shared" si="21"/>
        <v>0.72651356993736949</v>
      </c>
      <c r="T175" s="6">
        <f t="shared" si="22"/>
        <v>174</v>
      </c>
      <c r="U175" s="10">
        <f t="shared" si="23"/>
        <v>2.3809523809523809</v>
      </c>
      <c r="V175" s="6"/>
      <c r="W175" s="6"/>
    </row>
    <row r="176" spans="1:23" x14ac:dyDescent="0.25">
      <c r="A176" t="s">
        <v>32</v>
      </c>
      <c r="B176">
        <v>2020</v>
      </c>
      <c r="C176" s="4">
        <f t="shared" si="16"/>
        <v>43891</v>
      </c>
      <c r="D176">
        <v>3</v>
      </c>
      <c r="E176">
        <v>200</v>
      </c>
      <c r="F176">
        <v>61</v>
      </c>
      <c r="G176" s="1">
        <f t="shared" si="17"/>
        <v>139</v>
      </c>
      <c r="H176">
        <v>460</v>
      </c>
      <c r="I176" s="2">
        <v>0.35649999999999998</v>
      </c>
      <c r="J176">
        <v>966</v>
      </c>
      <c r="K176" s="3">
        <v>2.2685185185185187E-3</v>
      </c>
      <c r="L176" s="3">
        <f t="shared" si="18"/>
        <v>2.1</v>
      </c>
      <c r="M176" s="5">
        <v>22.17</v>
      </c>
      <c r="N176">
        <v>102</v>
      </c>
      <c r="O176" s="7">
        <v>20547</v>
      </c>
      <c r="P176">
        <v>174</v>
      </c>
      <c r="Q176" s="10">
        <f t="shared" si="19"/>
        <v>69.5</v>
      </c>
      <c r="R176" s="6">
        <f t="shared" si="20"/>
        <v>102.735</v>
      </c>
      <c r="S176" s="6">
        <f t="shared" si="21"/>
        <v>44.667391304347824</v>
      </c>
      <c r="T176" s="6">
        <f t="shared" si="22"/>
        <v>201.44117647058823</v>
      </c>
      <c r="U176" s="10">
        <f t="shared" si="23"/>
        <v>4.5105999097880017E-2</v>
      </c>
      <c r="V176" s="6"/>
      <c r="W176" s="6"/>
    </row>
    <row r="177" spans="1:23" x14ac:dyDescent="0.25">
      <c r="A177" t="s">
        <v>25</v>
      </c>
      <c r="B177">
        <v>2020</v>
      </c>
      <c r="C177" s="4">
        <f t="shared" si="16"/>
        <v>43891</v>
      </c>
      <c r="D177">
        <v>3</v>
      </c>
      <c r="E177">
        <v>422</v>
      </c>
      <c r="F177">
        <v>384</v>
      </c>
      <c r="G177" s="1">
        <f t="shared" si="17"/>
        <v>38</v>
      </c>
      <c r="H177">
        <v>453</v>
      </c>
      <c r="I177" s="2">
        <v>0.86529999999999996</v>
      </c>
      <c r="J177">
        <v>999</v>
      </c>
      <c r="K177" s="3">
        <v>8.4490740740740739E-4</v>
      </c>
      <c r="L177" s="3">
        <f t="shared" si="18"/>
        <v>2.2052980132450331</v>
      </c>
      <c r="M177" s="5">
        <v>0.44</v>
      </c>
      <c r="N177">
        <v>2</v>
      </c>
      <c r="O177" s="7">
        <v>224</v>
      </c>
      <c r="P177">
        <v>5</v>
      </c>
      <c r="Q177" s="10">
        <f t="shared" si="19"/>
        <v>9.0047393364928912</v>
      </c>
      <c r="R177" s="6">
        <f t="shared" si="20"/>
        <v>0.53080568720379151</v>
      </c>
      <c r="S177" s="6">
        <f t="shared" si="21"/>
        <v>0.49448123620309054</v>
      </c>
      <c r="T177" s="6">
        <f t="shared" si="22"/>
        <v>112</v>
      </c>
      <c r="U177" s="10">
        <f t="shared" si="23"/>
        <v>2.2727272727272729</v>
      </c>
      <c r="V177" s="6"/>
      <c r="W177" s="6"/>
    </row>
    <row r="178" spans="1:23" x14ac:dyDescent="0.25">
      <c r="A178" t="s">
        <v>37</v>
      </c>
      <c r="B178">
        <v>2020</v>
      </c>
      <c r="C178" s="4">
        <f t="shared" si="16"/>
        <v>44013</v>
      </c>
      <c r="D178">
        <v>7</v>
      </c>
      <c r="E178">
        <v>367</v>
      </c>
      <c r="F178">
        <v>325</v>
      </c>
      <c r="G178" s="1">
        <f t="shared" si="17"/>
        <v>42</v>
      </c>
      <c r="H178">
        <v>442</v>
      </c>
      <c r="I178" s="2">
        <v>0.52259999999999995</v>
      </c>
      <c r="J178" s="1">
        <v>1572</v>
      </c>
      <c r="K178" s="3">
        <v>2.0138888888888888E-3</v>
      </c>
      <c r="L178" s="3">
        <f t="shared" si="18"/>
        <v>3.5565610859728505</v>
      </c>
      <c r="M178" s="5">
        <v>0.68</v>
      </c>
      <c r="N178">
        <v>3</v>
      </c>
      <c r="O178" s="7">
        <v>846</v>
      </c>
      <c r="P178">
        <v>3</v>
      </c>
      <c r="Q178" s="10">
        <f t="shared" si="19"/>
        <v>11.444141689373296</v>
      </c>
      <c r="R178" s="6">
        <f t="shared" si="20"/>
        <v>2.3051771117166213</v>
      </c>
      <c r="S178" s="6">
        <f t="shared" si="21"/>
        <v>1.9140271493212671</v>
      </c>
      <c r="T178" s="6">
        <f t="shared" si="22"/>
        <v>282</v>
      </c>
      <c r="U178" s="10">
        <f t="shared" si="23"/>
        <v>1.4705882352941175</v>
      </c>
      <c r="V178" s="6"/>
      <c r="W178" s="6"/>
    </row>
    <row r="179" spans="1:23" x14ac:dyDescent="0.25">
      <c r="A179" t="s">
        <v>29</v>
      </c>
      <c r="B179">
        <v>2020</v>
      </c>
      <c r="C179" s="4">
        <f t="shared" si="16"/>
        <v>43952</v>
      </c>
      <c r="D179">
        <v>5</v>
      </c>
      <c r="E179">
        <v>277</v>
      </c>
      <c r="F179">
        <v>145</v>
      </c>
      <c r="G179" s="1">
        <f t="shared" si="17"/>
        <v>132</v>
      </c>
      <c r="H179">
        <v>440</v>
      </c>
      <c r="I179" s="2">
        <v>0.43409999999999999</v>
      </c>
      <c r="J179" s="1">
        <v>2209</v>
      </c>
      <c r="K179" s="3">
        <v>3.0555555555555557E-3</v>
      </c>
      <c r="L179" s="3">
        <f t="shared" si="18"/>
        <v>5.0204545454545455</v>
      </c>
      <c r="M179" s="5">
        <v>0.45</v>
      </c>
      <c r="N179">
        <v>2</v>
      </c>
      <c r="O179" s="7">
        <v>153</v>
      </c>
      <c r="P179">
        <v>3</v>
      </c>
      <c r="Q179" s="10">
        <f t="shared" si="19"/>
        <v>47.653429602888089</v>
      </c>
      <c r="R179" s="6">
        <f t="shared" si="20"/>
        <v>0.55234657039711188</v>
      </c>
      <c r="S179" s="6">
        <f t="shared" si="21"/>
        <v>0.34772727272727272</v>
      </c>
      <c r="T179" s="6">
        <f t="shared" si="22"/>
        <v>76.5</v>
      </c>
      <c r="U179" s="10">
        <f t="shared" si="23"/>
        <v>2.2222222222222223</v>
      </c>
      <c r="V179" s="6"/>
      <c r="W179" s="6"/>
    </row>
    <row r="180" spans="1:23" x14ac:dyDescent="0.25">
      <c r="A180" t="s">
        <v>34</v>
      </c>
      <c r="B180">
        <v>2020</v>
      </c>
      <c r="C180" s="4">
        <f t="shared" si="16"/>
        <v>43891</v>
      </c>
      <c r="D180">
        <v>3</v>
      </c>
      <c r="E180">
        <v>386</v>
      </c>
      <c r="F180">
        <v>285</v>
      </c>
      <c r="G180" s="1">
        <f t="shared" si="17"/>
        <v>101</v>
      </c>
      <c r="H180">
        <v>436</v>
      </c>
      <c r="I180" s="2">
        <v>0.1376</v>
      </c>
      <c r="J180" s="1">
        <v>2657</v>
      </c>
      <c r="K180" s="3">
        <v>2.7777777777777779E-3</v>
      </c>
      <c r="L180" s="3">
        <f t="shared" si="18"/>
        <v>6.0940366972477067</v>
      </c>
      <c r="M180" s="5">
        <v>0.23</v>
      </c>
      <c r="N180">
        <v>1</v>
      </c>
      <c r="O180" s="7">
        <v>42</v>
      </c>
      <c r="P180">
        <v>1</v>
      </c>
      <c r="Q180" s="10">
        <f t="shared" si="19"/>
        <v>26.165803108808287</v>
      </c>
      <c r="R180" s="6">
        <f t="shared" si="20"/>
        <v>0.10880829015544041</v>
      </c>
      <c r="S180" s="6">
        <f t="shared" si="21"/>
        <v>9.6330275229357804E-2</v>
      </c>
      <c r="T180" s="6">
        <f t="shared" si="22"/>
        <v>42</v>
      </c>
      <c r="U180" s="10">
        <f t="shared" si="23"/>
        <v>4.3478260869565215</v>
      </c>
      <c r="V180" s="6"/>
      <c r="W180" s="6"/>
    </row>
    <row r="181" spans="1:23" hidden="1" x14ac:dyDescent="0.25">
      <c r="A181" t="s">
        <v>35</v>
      </c>
      <c r="B181">
        <v>2020</v>
      </c>
      <c r="C181" s="4">
        <f t="shared" si="16"/>
        <v>43952</v>
      </c>
      <c r="D181">
        <v>5</v>
      </c>
      <c r="E181">
        <v>408</v>
      </c>
      <c r="F181">
        <v>388</v>
      </c>
      <c r="G181" s="1">
        <f t="shared" si="17"/>
        <v>20</v>
      </c>
      <c r="H181">
        <v>424</v>
      </c>
      <c r="I181" s="2">
        <v>0.61560000000000004</v>
      </c>
      <c r="J181" s="1">
        <v>1034</v>
      </c>
      <c r="K181" s="3">
        <v>9.3749999999999997E-4</v>
      </c>
      <c r="L181" s="3">
        <f t="shared" si="18"/>
        <v>2.4386792452830188</v>
      </c>
      <c r="M181" s="5">
        <v>0</v>
      </c>
      <c r="N181">
        <v>0</v>
      </c>
      <c r="O181" s="7">
        <v>0</v>
      </c>
      <c r="P181">
        <v>0</v>
      </c>
      <c r="Q181" s="10">
        <f t="shared" si="19"/>
        <v>4.9019607843137258</v>
      </c>
      <c r="R181" s="6">
        <f t="shared" si="20"/>
        <v>0</v>
      </c>
      <c r="S181" s="6">
        <f t="shared" si="21"/>
        <v>0</v>
      </c>
      <c r="T181" s="6" t="e">
        <f t="shared" si="22"/>
        <v>#DIV/0!</v>
      </c>
      <c r="U181" s="10" t="e">
        <f t="shared" si="23"/>
        <v>#DIV/0!</v>
      </c>
      <c r="V181" s="6">
        <f>SUMIF(B181:B426,2019,F181:F426)</f>
        <v>2802</v>
      </c>
      <c r="W181" s="6">
        <f>AVERAGEIF($B$2:$B$247,2019,$M$2:$M$247)</f>
        <v>2.9876404494382021</v>
      </c>
    </row>
    <row r="182" spans="1:23" x14ac:dyDescent="0.25">
      <c r="A182" t="s">
        <v>42</v>
      </c>
      <c r="B182">
        <v>2019</v>
      </c>
      <c r="C182" s="4">
        <f t="shared" si="16"/>
        <v>43739</v>
      </c>
      <c r="D182">
        <v>10</v>
      </c>
      <c r="E182">
        <v>244</v>
      </c>
      <c r="F182">
        <v>132</v>
      </c>
      <c r="G182" s="1">
        <f t="shared" si="17"/>
        <v>112</v>
      </c>
      <c r="H182">
        <v>422</v>
      </c>
      <c r="I182" s="2">
        <v>0.25829999999999997</v>
      </c>
      <c r="J182" s="1">
        <v>1122</v>
      </c>
      <c r="K182" s="3">
        <v>1.1574074074074073E-3</v>
      </c>
      <c r="L182" s="3">
        <f t="shared" si="18"/>
        <v>2.6587677725118484</v>
      </c>
      <c r="M182" s="5">
        <v>0.24</v>
      </c>
      <c r="N182">
        <v>1</v>
      </c>
      <c r="O182" s="7">
        <v>70</v>
      </c>
      <c r="P182">
        <v>1</v>
      </c>
      <c r="Q182" s="10">
        <f t="shared" si="19"/>
        <v>45.901639344262293</v>
      </c>
      <c r="R182" s="6">
        <f t="shared" si="20"/>
        <v>0.28688524590163933</v>
      </c>
      <c r="S182" s="6">
        <f t="shared" si="21"/>
        <v>0.16587677725118483</v>
      </c>
      <c r="T182" s="6">
        <f t="shared" si="22"/>
        <v>70</v>
      </c>
      <c r="U182" s="10">
        <f t="shared" si="23"/>
        <v>4.166666666666667</v>
      </c>
      <c r="V182" s="6"/>
      <c r="W182" s="6"/>
    </row>
    <row r="183" spans="1:23" x14ac:dyDescent="0.25">
      <c r="A183" t="s">
        <v>37</v>
      </c>
      <c r="B183">
        <v>2019</v>
      </c>
      <c r="C183" s="4">
        <f t="shared" si="16"/>
        <v>43709</v>
      </c>
      <c r="D183">
        <v>9</v>
      </c>
      <c r="E183">
        <v>348</v>
      </c>
      <c r="F183">
        <v>293</v>
      </c>
      <c r="G183" s="1">
        <f t="shared" si="17"/>
        <v>55</v>
      </c>
      <c r="H183">
        <v>418</v>
      </c>
      <c r="I183" s="2">
        <v>0.47849999999999998</v>
      </c>
      <c r="J183" s="1">
        <v>1931</v>
      </c>
      <c r="K183" s="3">
        <v>2.0717592592592593E-3</v>
      </c>
      <c r="L183" s="3">
        <f t="shared" si="18"/>
        <v>4.6196172248803826</v>
      </c>
      <c r="M183" s="5">
        <v>0.96</v>
      </c>
      <c r="N183">
        <v>4</v>
      </c>
      <c r="O183" s="7">
        <v>1769</v>
      </c>
      <c r="P183">
        <v>13</v>
      </c>
      <c r="Q183" s="10">
        <f t="shared" si="19"/>
        <v>15.804597701149426</v>
      </c>
      <c r="R183" s="6">
        <f t="shared" si="20"/>
        <v>5.083333333333333</v>
      </c>
      <c r="S183" s="6">
        <f t="shared" si="21"/>
        <v>4.232057416267943</v>
      </c>
      <c r="T183" s="6">
        <f t="shared" si="22"/>
        <v>442.25</v>
      </c>
      <c r="U183" s="10">
        <f t="shared" si="23"/>
        <v>1.0416666666666667</v>
      </c>
      <c r="V183" s="6"/>
      <c r="W183" s="6"/>
    </row>
    <row r="184" spans="1:23" x14ac:dyDescent="0.25">
      <c r="A184" t="s">
        <v>32</v>
      </c>
      <c r="B184">
        <v>2020</v>
      </c>
      <c r="C184" s="4">
        <f t="shared" si="16"/>
        <v>43862</v>
      </c>
      <c r="D184">
        <v>2</v>
      </c>
      <c r="E184">
        <v>187</v>
      </c>
      <c r="F184">
        <v>90</v>
      </c>
      <c r="G184" s="1">
        <f t="shared" si="17"/>
        <v>97</v>
      </c>
      <c r="H184">
        <v>401</v>
      </c>
      <c r="I184" s="2">
        <v>0.28179999999999999</v>
      </c>
      <c r="J184">
        <v>856</v>
      </c>
      <c r="K184" s="3">
        <v>1.8634259259259259E-3</v>
      </c>
      <c r="L184" s="3">
        <f t="shared" si="18"/>
        <v>2.1346633416458851</v>
      </c>
      <c r="M184" s="5">
        <v>22.69</v>
      </c>
      <c r="N184">
        <v>91</v>
      </c>
      <c r="O184" s="7">
        <v>21843</v>
      </c>
      <c r="P184">
        <v>169</v>
      </c>
      <c r="Q184" s="10">
        <f t="shared" si="19"/>
        <v>51.871657754010691</v>
      </c>
      <c r="R184" s="6">
        <f t="shared" si="20"/>
        <v>116.80748663101605</v>
      </c>
      <c r="S184" s="6">
        <f t="shared" si="21"/>
        <v>54.471321695760601</v>
      </c>
      <c r="T184" s="6">
        <f t="shared" si="22"/>
        <v>240.03296703296704</v>
      </c>
      <c r="U184" s="10">
        <f t="shared" si="23"/>
        <v>4.4072278536800347E-2</v>
      </c>
      <c r="V184" s="6"/>
      <c r="W184" s="6"/>
    </row>
    <row r="185" spans="1:23" x14ac:dyDescent="0.25">
      <c r="A185" t="s">
        <v>37</v>
      </c>
      <c r="B185">
        <v>2020</v>
      </c>
      <c r="C185" s="4">
        <f t="shared" si="16"/>
        <v>43891</v>
      </c>
      <c r="D185">
        <v>3</v>
      </c>
      <c r="E185">
        <v>343</v>
      </c>
      <c r="F185">
        <v>293</v>
      </c>
      <c r="G185" s="1">
        <f t="shared" si="17"/>
        <v>50</v>
      </c>
      <c r="H185">
        <v>399</v>
      </c>
      <c r="I185" s="2">
        <v>0.47370000000000001</v>
      </c>
      <c r="J185" s="1">
        <v>1509</v>
      </c>
      <c r="K185" s="3">
        <v>2.0833333333333333E-3</v>
      </c>
      <c r="L185" s="3">
        <f t="shared" si="18"/>
        <v>3.7819548872180451</v>
      </c>
      <c r="M185" s="5">
        <v>1</v>
      </c>
      <c r="N185">
        <v>4</v>
      </c>
      <c r="O185" s="7">
        <v>779</v>
      </c>
      <c r="P185">
        <v>5</v>
      </c>
      <c r="Q185" s="10">
        <f t="shared" si="19"/>
        <v>14.577259475218659</v>
      </c>
      <c r="R185" s="6">
        <f t="shared" si="20"/>
        <v>2.2711370262390669</v>
      </c>
      <c r="S185" s="6">
        <f t="shared" si="21"/>
        <v>1.9523809523809523</v>
      </c>
      <c r="T185" s="6">
        <f t="shared" si="22"/>
        <v>194.75</v>
      </c>
      <c r="U185" s="10">
        <f t="shared" si="23"/>
        <v>1</v>
      </c>
      <c r="V185" s="6"/>
      <c r="W185" s="6"/>
    </row>
    <row r="186" spans="1:23" x14ac:dyDescent="0.25">
      <c r="A186" t="s">
        <v>35</v>
      </c>
      <c r="B186">
        <v>2020</v>
      </c>
      <c r="C186" s="4">
        <f t="shared" si="16"/>
        <v>43891</v>
      </c>
      <c r="D186">
        <v>3</v>
      </c>
      <c r="E186">
        <v>381</v>
      </c>
      <c r="F186">
        <v>359</v>
      </c>
      <c r="G186" s="1">
        <f t="shared" si="17"/>
        <v>22</v>
      </c>
      <c r="H186">
        <v>394</v>
      </c>
      <c r="I186" s="2">
        <v>0.52539999999999998</v>
      </c>
      <c r="J186" s="1">
        <v>1035</v>
      </c>
      <c r="K186" s="3">
        <v>9.3749999999999997E-4</v>
      </c>
      <c r="L186" s="3">
        <f t="shared" si="18"/>
        <v>2.6269035532994924</v>
      </c>
      <c r="M186" s="5">
        <v>0.25</v>
      </c>
      <c r="N186">
        <v>1</v>
      </c>
      <c r="O186" s="7">
        <v>80</v>
      </c>
      <c r="P186">
        <v>2</v>
      </c>
      <c r="Q186" s="10">
        <f t="shared" si="19"/>
        <v>5.7742782152230969</v>
      </c>
      <c r="R186" s="6">
        <f t="shared" si="20"/>
        <v>0.20997375328083989</v>
      </c>
      <c r="S186" s="6">
        <f t="shared" si="21"/>
        <v>0.20304568527918782</v>
      </c>
      <c r="T186" s="6">
        <f t="shared" si="22"/>
        <v>80</v>
      </c>
      <c r="U186" s="10">
        <f t="shared" si="23"/>
        <v>4</v>
      </c>
      <c r="V186" s="6"/>
      <c r="W186" s="6"/>
    </row>
    <row r="187" spans="1:23" x14ac:dyDescent="0.25">
      <c r="A187" t="s">
        <v>37</v>
      </c>
      <c r="B187">
        <v>2020</v>
      </c>
      <c r="C187" s="4">
        <f t="shared" si="16"/>
        <v>44044</v>
      </c>
      <c r="D187">
        <v>8</v>
      </c>
      <c r="E187">
        <v>336</v>
      </c>
      <c r="F187">
        <v>301</v>
      </c>
      <c r="G187" s="1">
        <f t="shared" si="17"/>
        <v>35</v>
      </c>
      <c r="H187">
        <v>393</v>
      </c>
      <c r="I187" s="2">
        <v>0.54200000000000004</v>
      </c>
      <c r="J187" s="1">
        <v>1234</v>
      </c>
      <c r="K187" s="3">
        <v>1.7708333333333332E-3</v>
      </c>
      <c r="L187" s="3">
        <f t="shared" si="18"/>
        <v>3.1399491094147582</v>
      </c>
      <c r="M187" s="5">
        <v>0.25</v>
      </c>
      <c r="N187">
        <v>1</v>
      </c>
      <c r="O187" s="7">
        <v>280</v>
      </c>
      <c r="P187">
        <v>5</v>
      </c>
      <c r="Q187" s="10">
        <f t="shared" si="19"/>
        <v>10.416666666666668</v>
      </c>
      <c r="R187" s="6">
        <f t="shared" si="20"/>
        <v>0.83333333333333337</v>
      </c>
      <c r="S187" s="6">
        <f t="shared" si="21"/>
        <v>0.71246819338422396</v>
      </c>
      <c r="T187" s="6">
        <f t="shared" si="22"/>
        <v>280</v>
      </c>
      <c r="U187" s="10">
        <f t="shared" si="23"/>
        <v>4</v>
      </c>
      <c r="V187" s="6"/>
      <c r="W187" s="6"/>
    </row>
    <row r="188" spans="1:23" x14ac:dyDescent="0.25">
      <c r="A188" t="s">
        <v>25</v>
      </c>
      <c r="B188">
        <v>2020</v>
      </c>
      <c r="C188" s="4">
        <f t="shared" si="16"/>
        <v>43862</v>
      </c>
      <c r="D188">
        <v>2</v>
      </c>
      <c r="E188">
        <v>372</v>
      </c>
      <c r="F188">
        <v>341</v>
      </c>
      <c r="G188" s="1">
        <f t="shared" si="17"/>
        <v>31</v>
      </c>
      <c r="H188">
        <v>387</v>
      </c>
      <c r="I188" s="2">
        <v>0.87860000000000005</v>
      </c>
      <c r="J188">
        <v>736</v>
      </c>
      <c r="K188" s="3">
        <v>6.018518518518519E-4</v>
      </c>
      <c r="L188" s="3">
        <f t="shared" si="18"/>
        <v>1.9018087855297157</v>
      </c>
      <c r="M188" s="5">
        <v>0.52</v>
      </c>
      <c r="N188">
        <v>2</v>
      </c>
      <c r="O188" s="7">
        <v>334</v>
      </c>
      <c r="P188">
        <v>2</v>
      </c>
      <c r="Q188" s="10">
        <f t="shared" si="19"/>
        <v>8.3333333333333321</v>
      </c>
      <c r="R188" s="6">
        <f t="shared" si="20"/>
        <v>0.89784946236559138</v>
      </c>
      <c r="S188" s="6">
        <f t="shared" si="21"/>
        <v>0.86304909560723519</v>
      </c>
      <c r="T188" s="6">
        <f t="shared" si="22"/>
        <v>167</v>
      </c>
      <c r="U188" s="10">
        <f t="shared" si="23"/>
        <v>1.9230769230769229</v>
      </c>
      <c r="V188" s="6"/>
      <c r="W188" s="6"/>
    </row>
    <row r="189" spans="1:23" x14ac:dyDescent="0.25">
      <c r="A189" t="s">
        <v>40</v>
      </c>
      <c r="B189">
        <v>2020</v>
      </c>
      <c r="C189" s="4">
        <f t="shared" si="16"/>
        <v>44044</v>
      </c>
      <c r="D189">
        <v>8</v>
      </c>
      <c r="E189">
        <v>226</v>
      </c>
      <c r="F189">
        <v>116</v>
      </c>
      <c r="G189" s="1">
        <f t="shared" si="17"/>
        <v>110</v>
      </c>
      <c r="H189">
        <v>373</v>
      </c>
      <c r="I189" s="2">
        <v>0.24660000000000001</v>
      </c>
      <c r="J189" s="1">
        <v>2475</v>
      </c>
      <c r="K189" s="3">
        <v>3.460648148148148E-3</v>
      </c>
      <c r="L189" s="3">
        <f t="shared" si="18"/>
        <v>6.6353887399463805</v>
      </c>
      <c r="M189" s="5">
        <v>4.83</v>
      </c>
      <c r="N189">
        <v>18</v>
      </c>
      <c r="O189" s="7">
        <v>2977</v>
      </c>
      <c r="P189">
        <v>31</v>
      </c>
      <c r="Q189" s="10">
        <f t="shared" si="19"/>
        <v>48.672566371681413</v>
      </c>
      <c r="R189" s="6">
        <f t="shared" si="20"/>
        <v>13.172566371681416</v>
      </c>
      <c r="S189" s="6">
        <f t="shared" si="21"/>
        <v>7.9812332439678286</v>
      </c>
      <c r="T189" s="6">
        <f t="shared" si="22"/>
        <v>165.38888888888889</v>
      </c>
      <c r="U189" s="10">
        <f t="shared" si="23"/>
        <v>0.20703933747412007</v>
      </c>
      <c r="V189" s="6"/>
      <c r="W189" s="6"/>
    </row>
    <row r="190" spans="1:23" x14ac:dyDescent="0.25">
      <c r="A190" t="s">
        <v>33</v>
      </c>
      <c r="B190">
        <v>2020</v>
      </c>
      <c r="C190" s="4">
        <f t="shared" si="16"/>
        <v>43891</v>
      </c>
      <c r="D190">
        <v>3</v>
      </c>
      <c r="E190">
        <v>293</v>
      </c>
      <c r="F190">
        <v>120</v>
      </c>
      <c r="G190" s="1">
        <f t="shared" si="17"/>
        <v>173</v>
      </c>
      <c r="H190">
        <v>360</v>
      </c>
      <c r="I190" s="2">
        <v>0.14169999999999999</v>
      </c>
      <c r="J190" s="1">
        <v>2956</v>
      </c>
      <c r="K190" s="3">
        <v>4.1319444444444442E-3</v>
      </c>
      <c r="L190" s="3">
        <f t="shared" si="18"/>
        <v>8.2111111111111104</v>
      </c>
      <c r="M190" s="5">
        <v>2.2200000000000002</v>
      </c>
      <c r="N190">
        <v>8</v>
      </c>
      <c r="O190" s="7">
        <v>1224</v>
      </c>
      <c r="P190">
        <v>18</v>
      </c>
      <c r="Q190" s="10">
        <f t="shared" si="19"/>
        <v>59.044368600682596</v>
      </c>
      <c r="R190" s="6">
        <f t="shared" si="20"/>
        <v>4.1774744027303754</v>
      </c>
      <c r="S190" s="6">
        <f t="shared" si="21"/>
        <v>3.4</v>
      </c>
      <c r="T190" s="6">
        <f t="shared" si="22"/>
        <v>153</v>
      </c>
      <c r="U190" s="10">
        <f t="shared" si="23"/>
        <v>0.4504504504504504</v>
      </c>
      <c r="V190" s="6"/>
      <c r="W190" s="6"/>
    </row>
    <row r="191" spans="1:23" hidden="1" x14ac:dyDescent="0.25">
      <c r="A191" t="s">
        <v>38</v>
      </c>
      <c r="B191">
        <v>2019</v>
      </c>
      <c r="C191" s="4">
        <f t="shared" si="16"/>
        <v>43739</v>
      </c>
      <c r="D191">
        <v>10</v>
      </c>
      <c r="E191">
        <v>334</v>
      </c>
      <c r="F191">
        <v>294</v>
      </c>
      <c r="G191" s="1">
        <f t="shared" si="17"/>
        <v>40</v>
      </c>
      <c r="H191">
        <v>359</v>
      </c>
      <c r="I191" s="2">
        <v>0.43730000000000002</v>
      </c>
      <c r="J191">
        <v>969</v>
      </c>
      <c r="K191" s="3">
        <v>1.4930555555555556E-3</v>
      </c>
      <c r="L191" s="3">
        <f t="shared" si="18"/>
        <v>2.6991643454038998</v>
      </c>
      <c r="M191" s="5">
        <v>0</v>
      </c>
      <c r="N191">
        <v>0</v>
      </c>
      <c r="O191" s="7">
        <v>0</v>
      </c>
      <c r="P191">
        <v>0</v>
      </c>
      <c r="Q191" s="10">
        <f t="shared" si="19"/>
        <v>11.976047904191617</v>
      </c>
      <c r="R191" s="6">
        <f t="shared" si="20"/>
        <v>0</v>
      </c>
      <c r="S191" s="6">
        <f t="shared" si="21"/>
        <v>0</v>
      </c>
      <c r="T191" s="6" t="e">
        <f t="shared" si="22"/>
        <v>#DIV/0!</v>
      </c>
      <c r="U191" s="10" t="e">
        <f t="shared" si="23"/>
        <v>#DIV/0!</v>
      </c>
      <c r="V191" s="6">
        <f>SUMIF(B191:B436,2019,F191:F436)</f>
        <v>2377</v>
      </c>
      <c r="W191" s="6">
        <f>AVERAGEIF($B$2:$B$247,2019,$M$2:$M$247)</f>
        <v>2.9876404494382021</v>
      </c>
    </row>
    <row r="192" spans="1:23" hidden="1" x14ac:dyDescent="0.25">
      <c r="A192" t="s">
        <v>38</v>
      </c>
      <c r="B192">
        <v>2019</v>
      </c>
      <c r="C192" s="4">
        <f t="shared" ref="C192:C248" si="24">DATE(B192,D192,1)</f>
        <v>43800</v>
      </c>
      <c r="D192">
        <v>12</v>
      </c>
      <c r="E192">
        <v>297</v>
      </c>
      <c r="F192">
        <v>249</v>
      </c>
      <c r="G192" s="1">
        <f t="shared" ref="G192:G248" si="25">E192-F192</f>
        <v>48</v>
      </c>
      <c r="H192">
        <v>336</v>
      </c>
      <c r="I192" s="2">
        <v>0.55059999999999998</v>
      </c>
      <c r="J192">
        <v>862</v>
      </c>
      <c r="K192" s="3">
        <v>1.3888888888888889E-3</v>
      </c>
      <c r="L192" s="3">
        <f t="shared" ref="L192:L248" si="26">J192/H192</f>
        <v>2.5654761904761907</v>
      </c>
      <c r="M192" s="5">
        <v>0</v>
      </c>
      <c r="N192">
        <v>0</v>
      </c>
      <c r="O192" s="7">
        <v>0</v>
      </c>
      <c r="P192">
        <v>0</v>
      </c>
      <c r="Q192" s="10">
        <f t="shared" ref="Q192:Q248" si="27">(G192/E192)*100</f>
        <v>16.161616161616163</v>
      </c>
      <c r="R192" s="6">
        <f t="shared" ref="R192:R248" si="28">O192/E192</f>
        <v>0</v>
      </c>
      <c r="S192" s="6">
        <f t="shared" ref="S192:S248" si="29">O192/H192</f>
        <v>0</v>
      </c>
      <c r="T192" s="6" t="e">
        <f t="shared" ref="T192:T248" si="30">O192/N192</f>
        <v>#DIV/0!</v>
      </c>
      <c r="U192" s="10" t="e">
        <f t="shared" ref="U192:U248" si="31">1/M192</f>
        <v>#DIV/0!</v>
      </c>
      <c r="V192" s="6">
        <f>SUMIF(B192:B437,2019,F192:F437)</f>
        <v>2083</v>
      </c>
      <c r="W192" s="6">
        <f>AVERAGEIF($B$2:$B$247,2019,$M$2:$M$247)</f>
        <v>2.9876404494382021</v>
      </c>
    </row>
    <row r="193" spans="1:23" hidden="1" x14ac:dyDescent="0.25">
      <c r="A193" t="s">
        <v>35</v>
      </c>
      <c r="B193">
        <v>2020</v>
      </c>
      <c r="C193" s="4">
        <f t="shared" si="24"/>
        <v>43922</v>
      </c>
      <c r="D193">
        <v>4</v>
      </c>
      <c r="E193">
        <v>318</v>
      </c>
      <c r="F193">
        <v>307</v>
      </c>
      <c r="G193" s="1">
        <f t="shared" si="25"/>
        <v>11</v>
      </c>
      <c r="H193">
        <v>330</v>
      </c>
      <c r="I193" s="2">
        <v>0.57269999999999999</v>
      </c>
      <c r="J193">
        <v>929</v>
      </c>
      <c r="K193" s="3">
        <v>1.0532407407407407E-3</v>
      </c>
      <c r="L193" s="3">
        <f t="shared" si="26"/>
        <v>2.815151515151515</v>
      </c>
      <c r="M193" s="5">
        <v>0</v>
      </c>
      <c r="N193">
        <v>0</v>
      </c>
      <c r="O193" s="7">
        <v>0</v>
      </c>
      <c r="P193">
        <v>0</v>
      </c>
      <c r="Q193" s="10">
        <f t="shared" si="27"/>
        <v>3.459119496855346</v>
      </c>
      <c r="R193" s="6">
        <f t="shared" si="28"/>
        <v>0</v>
      </c>
      <c r="S193" s="6">
        <f t="shared" si="29"/>
        <v>0</v>
      </c>
      <c r="T193" s="6" t="e">
        <f t="shared" si="30"/>
        <v>#DIV/0!</v>
      </c>
      <c r="U193" s="10" t="e">
        <f t="shared" si="31"/>
        <v>#DIV/0!</v>
      </c>
      <c r="V193" s="6">
        <f>SUMIF(B193:B438,2019,F193:F438)</f>
        <v>1834</v>
      </c>
      <c r="W193" s="6">
        <f>AVERAGEIF($B$2:$B$247,2019,$M$2:$M$247)</f>
        <v>2.9876404494382021</v>
      </c>
    </row>
    <row r="194" spans="1:23" x14ac:dyDescent="0.25">
      <c r="A194" t="s">
        <v>32</v>
      </c>
      <c r="B194">
        <v>2020</v>
      </c>
      <c r="C194" s="4">
        <f t="shared" si="24"/>
        <v>43831</v>
      </c>
      <c r="D194">
        <v>1</v>
      </c>
      <c r="E194">
        <v>159</v>
      </c>
      <c r="F194">
        <v>83</v>
      </c>
      <c r="G194" s="1">
        <f t="shared" si="25"/>
        <v>76</v>
      </c>
      <c r="H194">
        <v>320</v>
      </c>
      <c r="I194" s="2">
        <v>0.3594</v>
      </c>
      <c r="J194">
        <v>604</v>
      </c>
      <c r="K194" s="3">
        <v>2.0949074074074073E-3</v>
      </c>
      <c r="L194" s="3">
        <f t="shared" si="26"/>
        <v>1.8875</v>
      </c>
      <c r="M194" s="5">
        <v>24.38</v>
      </c>
      <c r="N194">
        <v>78</v>
      </c>
      <c r="O194" s="7">
        <v>20242</v>
      </c>
      <c r="P194">
        <v>123</v>
      </c>
      <c r="Q194" s="10">
        <f t="shared" si="27"/>
        <v>47.79874213836478</v>
      </c>
      <c r="R194" s="6">
        <f t="shared" si="28"/>
        <v>127.30817610062893</v>
      </c>
      <c r="S194" s="6">
        <f t="shared" si="29"/>
        <v>63.256250000000001</v>
      </c>
      <c r="T194" s="6">
        <f t="shared" si="30"/>
        <v>259.5128205128205</v>
      </c>
      <c r="U194" s="10">
        <f t="shared" si="31"/>
        <v>4.1017227235438887E-2</v>
      </c>
      <c r="V194" s="6"/>
      <c r="W194" s="6"/>
    </row>
    <row r="195" spans="1:23" x14ac:dyDescent="0.25">
      <c r="A195" t="s">
        <v>40</v>
      </c>
      <c r="B195">
        <v>2020</v>
      </c>
      <c r="C195" s="4">
        <f t="shared" si="24"/>
        <v>43922</v>
      </c>
      <c r="D195">
        <v>4</v>
      </c>
      <c r="E195">
        <v>254</v>
      </c>
      <c r="F195">
        <v>175</v>
      </c>
      <c r="G195" s="1">
        <f t="shared" si="25"/>
        <v>79</v>
      </c>
      <c r="H195">
        <v>307</v>
      </c>
      <c r="I195" s="2">
        <v>0.28010000000000002</v>
      </c>
      <c r="J195" s="1">
        <v>2249</v>
      </c>
      <c r="K195" s="3">
        <v>3.9120370370370368E-3</v>
      </c>
      <c r="L195" s="3">
        <f t="shared" si="26"/>
        <v>7.3257328990228014</v>
      </c>
      <c r="M195" s="5">
        <v>7.82</v>
      </c>
      <c r="N195">
        <v>24</v>
      </c>
      <c r="O195" s="7">
        <v>5603</v>
      </c>
      <c r="P195">
        <v>68</v>
      </c>
      <c r="Q195" s="10">
        <f t="shared" si="27"/>
        <v>31.102362204724411</v>
      </c>
      <c r="R195" s="6">
        <f t="shared" si="28"/>
        <v>22.059055118110237</v>
      </c>
      <c r="S195" s="6">
        <f t="shared" si="29"/>
        <v>18.250814332247558</v>
      </c>
      <c r="T195" s="6">
        <f t="shared" si="30"/>
        <v>233.45833333333334</v>
      </c>
      <c r="U195" s="10">
        <f t="shared" si="31"/>
        <v>0.12787723785166241</v>
      </c>
      <c r="V195" s="6"/>
      <c r="W195" s="6"/>
    </row>
    <row r="196" spans="1:23" hidden="1" x14ac:dyDescent="0.25">
      <c r="A196" t="s">
        <v>17</v>
      </c>
      <c r="B196">
        <v>2020</v>
      </c>
      <c r="C196" s="4">
        <f t="shared" si="24"/>
        <v>43983</v>
      </c>
      <c r="D196">
        <v>6</v>
      </c>
      <c r="E196">
        <v>126</v>
      </c>
      <c r="F196">
        <v>24</v>
      </c>
      <c r="G196" s="1">
        <f t="shared" si="25"/>
        <v>102</v>
      </c>
      <c r="H196">
        <v>301</v>
      </c>
      <c r="I196" s="2">
        <v>0.63119999999999998</v>
      </c>
      <c r="J196">
        <v>902</v>
      </c>
      <c r="K196" s="3">
        <v>1.5393518518518519E-3</v>
      </c>
      <c r="L196" s="3">
        <f t="shared" si="26"/>
        <v>2.9966777408637872</v>
      </c>
      <c r="M196" s="5">
        <v>0</v>
      </c>
      <c r="N196">
        <v>0</v>
      </c>
      <c r="O196" s="7">
        <v>0</v>
      </c>
      <c r="P196">
        <v>0</v>
      </c>
      <c r="Q196" s="10">
        <f t="shared" si="27"/>
        <v>80.952380952380949</v>
      </c>
      <c r="R196" s="6">
        <f t="shared" si="28"/>
        <v>0</v>
      </c>
      <c r="S196" s="6">
        <f t="shared" si="29"/>
        <v>0</v>
      </c>
      <c r="T196" s="6" t="e">
        <f t="shared" si="30"/>
        <v>#DIV/0!</v>
      </c>
      <c r="U196" s="10" t="e">
        <f t="shared" si="31"/>
        <v>#DIV/0!</v>
      </c>
      <c r="V196" s="6">
        <f>SUMIF(B196:B441,2019,F196:F441)</f>
        <v>1834</v>
      </c>
      <c r="W196" s="6">
        <f>AVERAGEIF($B$2:$B$247,2019,$M$2:$M$247)</f>
        <v>2.9876404494382021</v>
      </c>
    </row>
    <row r="197" spans="1:23" x14ac:dyDescent="0.25">
      <c r="A197" t="s">
        <v>33</v>
      </c>
      <c r="B197">
        <v>2020</v>
      </c>
      <c r="C197" s="4">
        <f t="shared" si="24"/>
        <v>43831</v>
      </c>
      <c r="D197">
        <v>1</v>
      </c>
      <c r="E197">
        <v>250</v>
      </c>
      <c r="F197">
        <v>133</v>
      </c>
      <c r="G197" s="1">
        <f t="shared" si="25"/>
        <v>117</v>
      </c>
      <c r="H197">
        <v>299</v>
      </c>
      <c r="I197" s="2">
        <v>0.14050000000000001</v>
      </c>
      <c r="J197" s="1">
        <v>2424</v>
      </c>
      <c r="K197" s="3">
        <v>3.0787037037037037E-3</v>
      </c>
      <c r="L197" s="3">
        <f t="shared" si="26"/>
        <v>8.1070234113712374</v>
      </c>
      <c r="M197" s="5">
        <v>1.67</v>
      </c>
      <c r="N197">
        <v>5</v>
      </c>
      <c r="O197" s="7">
        <v>798</v>
      </c>
      <c r="P197">
        <v>8</v>
      </c>
      <c r="Q197" s="10">
        <f t="shared" si="27"/>
        <v>46.800000000000004</v>
      </c>
      <c r="R197" s="6">
        <f t="shared" si="28"/>
        <v>3.1920000000000002</v>
      </c>
      <c r="S197" s="6">
        <f t="shared" si="29"/>
        <v>2.6688963210702341</v>
      </c>
      <c r="T197" s="6">
        <f t="shared" si="30"/>
        <v>159.6</v>
      </c>
      <c r="U197" s="10">
        <f t="shared" si="31"/>
        <v>0.5988023952095809</v>
      </c>
      <c r="V197" s="6"/>
      <c r="W197" s="6"/>
    </row>
    <row r="198" spans="1:23" hidden="1" x14ac:dyDescent="0.25">
      <c r="A198" t="s">
        <v>38</v>
      </c>
      <c r="B198">
        <v>2020</v>
      </c>
      <c r="C198" s="4">
        <f t="shared" si="24"/>
        <v>43831</v>
      </c>
      <c r="D198">
        <v>1</v>
      </c>
      <c r="E198">
        <v>262</v>
      </c>
      <c r="F198">
        <v>223</v>
      </c>
      <c r="G198" s="1">
        <f t="shared" si="25"/>
        <v>39</v>
      </c>
      <c r="H198">
        <v>296</v>
      </c>
      <c r="I198" s="2">
        <v>0.56079999999999997</v>
      </c>
      <c r="J198">
        <v>870</v>
      </c>
      <c r="K198" s="3">
        <v>1.6203703703703703E-3</v>
      </c>
      <c r="L198" s="3">
        <f t="shared" si="26"/>
        <v>2.939189189189189</v>
      </c>
      <c r="M198" s="5">
        <v>0</v>
      </c>
      <c r="N198">
        <v>0</v>
      </c>
      <c r="O198" s="7">
        <v>0</v>
      </c>
      <c r="P198">
        <v>0</v>
      </c>
      <c r="Q198" s="10">
        <f t="shared" si="27"/>
        <v>14.885496183206106</v>
      </c>
      <c r="R198" s="6">
        <f t="shared" si="28"/>
        <v>0</v>
      </c>
      <c r="S198" s="6">
        <f t="shared" si="29"/>
        <v>0</v>
      </c>
      <c r="T198" s="6" t="e">
        <f t="shared" si="30"/>
        <v>#DIV/0!</v>
      </c>
      <c r="U198" s="10" t="e">
        <f t="shared" si="31"/>
        <v>#DIV/0!</v>
      </c>
      <c r="V198" s="6">
        <f>SUMIF(B198:B443,2019,F198:F443)</f>
        <v>1834</v>
      </c>
      <c r="W198" s="6">
        <f>AVERAGEIF($B$2:$B$247,2019,$M$2:$M$247)</f>
        <v>2.9876404494382021</v>
      </c>
    </row>
    <row r="199" spans="1:23" hidden="1" x14ac:dyDescent="0.25">
      <c r="A199" t="s">
        <v>38</v>
      </c>
      <c r="B199">
        <v>2020</v>
      </c>
      <c r="C199" s="4">
        <f t="shared" si="24"/>
        <v>43862</v>
      </c>
      <c r="D199">
        <v>2</v>
      </c>
      <c r="E199">
        <v>246</v>
      </c>
      <c r="F199">
        <v>204</v>
      </c>
      <c r="G199" s="1">
        <f t="shared" si="25"/>
        <v>42</v>
      </c>
      <c r="H199">
        <v>287</v>
      </c>
      <c r="I199" s="2">
        <v>0.5645</v>
      </c>
      <c r="J199">
        <v>849</v>
      </c>
      <c r="K199" s="3">
        <v>1.736111111111111E-3</v>
      </c>
      <c r="L199" s="3">
        <f t="shared" si="26"/>
        <v>2.9581881533101044</v>
      </c>
      <c r="M199" s="5">
        <v>0</v>
      </c>
      <c r="N199">
        <v>0</v>
      </c>
      <c r="O199" s="7">
        <v>0</v>
      </c>
      <c r="P199">
        <v>0</v>
      </c>
      <c r="Q199" s="10">
        <f t="shared" si="27"/>
        <v>17.073170731707318</v>
      </c>
      <c r="R199" s="6">
        <f t="shared" si="28"/>
        <v>0</v>
      </c>
      <c r="S199" s="6">
        <f t="shared" si="29"/>
        <v>0</v>
      </c>
      <c r="T199" s="6" t="e">
        <f t="shared" si="30"/>
        <v>#DIV/0!</v>
      </c>
      <c r="U199" s="10" t="e">
        <f t="shared" si="31"/>
        <v>#DIV/0!</v>
      </c>
      <c r="V199" s="6">
        <f>SUMIF(B199:B444,2019,F199:F444)</f>
        <v>1834</v>
      </c>
      <c r="W199" s="6">
        <f>AVERAGEIF($B$2:$B$247,2019,$M$2:$M$247)</f>
        <v>2.9876404494382021</v>
      </c>
    </row>
    <row r="200" spans="1:23" x14ac:dyDescent="0.25">
      <c r="A200" t="s">
        <v>30</v>
      </c>
      <c r="B200">
        <v>2019</v>
      </c>
      <c r="C200" s="4">
        <f t="shared" si="24"/>
        <v>43709</v>
      </c>
      <c r="D200">
        <v>9</v>
      </c>
      <c r="E200">
        <v>183</v>
      </c>
      <c r="F200">
        <v>141</v>
      </c>
      <c r="G200" s="1">
        <f t="shared" si="25"/>
        <v>42</v>
      </c>
      <c r="H200">
        <v>283</v>
      </c>
      <c r="I200" s="2">
        <v>0.1237</v>
      </c>
      <c r="J200" s="1">
        <v>1646</v>
      </c>
      <c r="K200" s="3">
        <v>3.7962962962962963E-3</v>
      </c>
      <c r="L200" s="3">
        <f t="shared" si="26"/>
        <v>5.8162544169611303</v>
      </c>
      <c r="M200" s="5">
        <v>33.22</v>
      </c>
      <c r="N200">
        <v>94</v>
      </c>
      <c r="O200" s="7">
        <v>16933</v>
      </c>
      <c r="P200">
        <v>130</v>
      </c>
      <c r="Q200" s="10">
        <f t="shared" si="27"/>
        <v>22.950819672131146</v>
      </c>
      <c r="R200" s="6">
        <f t="shared" si="28"/>
        <v>92.530054644808743</v>
      </c>
      <c r="S200" s="6">
        <f t="shared" si="29"/>
        <v>59.833922261484098</v>
      </c>
      <c r="T200" s="6">
        <f t="shared" si="30"/>
        <v>180.13829787234042</v>
      </c>
      <c r="U200" s="10">
        <f t="shared" si="31"/>
        <v>3.0102347983142687E-2</v>
      </c>
      <c r="V200" s="6"/>
      <c r="W200" s="6"/>
    </row>
    <row r="201" spans="1:23" x14ac:dyDescent="0.25">
      <c r="A201" t="s">
        <v>43</v>
      </c>
      <c r="B201">
        <v>2019</v>
      </c>
      <c r="C201" s="4">
        <f t="shared" si="24"/>
        <v>43800</v>
      </c>
      <c r="D201">
        <v>12</v>
      </c>
      <c r="E201">
        <v>124</v>
      </c>
      <c r="F201">
        <v>11</v>
      </c>
      <c r="G201" s="1">
        <f t="shared" si="25"/>
        <v>113</v>
      </c>
      <c r="H201">
        <v>279</v>
      </c>
      <c r="I201" s="2">
        <v>0.34770000000000001</v>
      </c>
      <c r="J201" s="1">
        <v>1380</v>
      </c>
      <c r="K201" s="3">
        <v>2.7893518518518519E-3</v>
      </c>
      <c r="L201" s="3">
        <f t="shared" si="26"/>
        <v>4.946236559139785</v>
      </c>
      <c r="M201" s="5">
        <v>4.66</v>
      </c>
      <c r="N201">
        <v>13</v>
      </c>
      <c r="O201" s="7">
        <v>2672</v>
      </c>
      <c r="P201">
        <v>13</v>
      </c>
      <c r="Q201" s="10">
        <f t="shared" si="27"/>
        <v>91.129032258064512</v>
      </c>
      <c r="R201" s="6">
        <f t="shared" si="28"/>
        <v>21.548387096774192</v>
      </c>
      <c r="S201" s="6">
        <f t="shared" si="29"/>
        <v>9.5770609318996414</v>
      </c>
      <c r="T201" s="6">
        <f t="shared" si="30"/>
        <v>205.53846153846155</v>
      </c>
      <c r="U201" s="10">
        <f t="shared" si="31"/>
        <v>0.21459227467811159</v>
      </c>
      <c r="V201" s="6"/>
      <c r="W201" s="6"/>
    </row>
    <row r="202" spans="1:23" x14ac:dyDescent="0.25">
      <c r="A202" t="s">
        <v>42</v>
      </c>
      <c r="B202">
        <v>2019</v>
      </c>
      <c r="C202" s="4">
        <f t="shared" si="24"/>
        <v>43770</v>
      </c>
      <c r="D202">
        <v>11</v>
      </c>
      <c r="E202">
        <v>153</v>
      </c>
      <c r="F202">
        <v>73</v>
      </c>
      <c r="G202" s="1">
        <f t="shared" si="25"/>
        <v>80</v>
      </c>
      <c r="H202">
        <v>269</v>
      </c>
      <c r="I202" s="2">
        <v>0.57989999999999997</v>
      </c>
      <c r="J202">
        <v>678</v>
      </c>
      <c r="K202" s="3">
        <v>1.1111111111111111E-3</v>
      </c>
      <c r="L202" s="3">
        <f t="shared" si="26"/>
        <v>2.520446096654275</v>
      </c>
      <c r="M202" s="5">
        <v>0.37</v>
      </c>
      <c r="N202">
        <v>1</v>
      </c>
      <c r="O202" s="7">
        <v>242</v>
      </c>
      <c r="P202">
        <v>1</v>
      </c>
      <c r="Q202" s="10">
        <f t="shared" si="27"/>
        <v>52.287581699346411</v>
      </c>
      <c r="R202" s="6">
        <f t="shared" si="28"/>
        <v>1.5816993464052287</v>
      </c>
      <c r="S202" s="6">
        <f t="shared" si="29"/>
        <v>0.8996282527881041</v>
      </c>
      <c r="T202" s="6">
        <f t="shared" si="30"/>
        <v>242</v>
      </c>
      <c r="U202" s="10">
        <f t="shared" si="31"/>
        <v>2.7027027027027026</v>
      </c>
      <c r="V202" s="6"/>
      <c r="W202" s="6"/>
    </row>
    <row r="203" spans="1:23" x14ac:dyDescent="0.25">
      <c r="A203" t="s">
        <v>32</v>
      </c>
      <c r="B203">
        <v>2019</v>
      </c>
      <c r="C203" s="4">
        <f t="shared" si="24"/>
        <v>43800</v>
      </c>
      <c r="D203">
        <v>12</v>
      </c>
      <c r="E203">
        <v>175</v>
      </c>
      <c r="F203">
        <v>104</v>
      </c>
      <c r="G203" s="1">
        <f t="shared" si="25"/>
        <v>71</v>
      </c>
      <c r="H203">
        <v>268</v>
      </c>
      <c r="I203" s="2">
        <v>0.1978</v>
      </c>
      <c r="J203">
        <v>478</v>
      </c>
      <c r="K203" s="3">
        <v>2.0370370370370369E-3</v>
      </c>
      <c r="L203" s="3">
        <f t="shared" si="26"/>
        <v>1.7835820895522387</v>
      </c>
      <c r="M203" s="5">
        <v>26.12</v>
      </c>
      <c r="N203">
        <v>70</v>
      </c>
      <c r="O203" s="7">
        <v>14964</v>
      </c>
      <c r="P203">
        <v>98</v>
      </c>
      <c r="Q203" s="10">
        <f t="shared" si="27"/>
        <v>40.571428571428569</v>
      </c>
      <c r="R203" s="6">
        <f t="shared" si="28"/>
        <v>85.508571428571429</v>
      </c>
      <c r="S203" s="6">
        <f t="shared" si="29"/>
        <v>55.835820895522389</v>
      </c>
      <c r="T203" s="6">
        <f t="shared" si="30"/>
        <v>213.77142857142857</v>
      </c>
      <c r="U203" s="10">
        <f t="shared" si="31"/>
        <v>3.8284839203675342E-2</v>
      </c>
      <c r="V203" s="6"/>
      <c r="W203" s="6"/>
    </row>
    <row r="204" spans="1:23" x14ac:dyDescent="0.25">
      <c r="A204" t="s">
        <v>33</v>
      </c>
      <c r="B204">
        <v>2020</v>
      </c>
      <c r="C204" s="4">
        <f t="shared" si="24"/>
        <v>43862</v>
      </c>
      <c r="D204">
        <v>2</v>
      </c>
      <c r="E204">
        <v>215</v>
      </c>
      <c r="F204">
        <v>103</v>
      </c>
      <c r="G204" s="1">
        <f t="shared" si="25"/>
        <v>112</v>
      </c>
      <c r="H204">
        <v>268</v>
      </c>
      <c r="I204" s="2">
        <v>0.11940000000000001</v>
      </c>
      <c r="J204" s="1">
        <v>2001</v>
      </c>
      <c r="K204" s="3">
        <v>3.1597222222222222E-3</v>
      </c>
      <c r="L204" s="3">
        <f t="shared" si="26"/>
        <v>7.4664179104477615</v>
      </c>
      <c r="M204" s="5">
        <v>1.87</v>
      </c>
      <c r="N204">
        <v>5</v>
      </c>
      <c r="O204" s="7">
        <v>456</v>
      </c>
      <c r="P204">
        <v>6</v>
      </c>
      <c r="Q204" s="10">
        <f t="shared" si="27"/>
        <v>52.093023255813954</v>
      </c>
      <c r="R204" s="6">
        <f t="shared" si="28"/>
        <v>2.1209302325581394</v>
      </c>
      <c r="S204" s="6">
        <f t="shared" si="29"/>
        <v>1.7014925373134329</v>
      </c>
      <c r="T204" s="6">
        <f t="shared" si="30"/>
        <v>91.2</v>
      </c>
      <c r="U204" s="10">
        <f t="shared" si="31"/>
        <v>0.53475935828876997</v>
      </c>
      <c r="V204" s="6"/>
      <c r="W204" s="6"/>
    </row>
    <row r="205" spans="1:23" x14ac:dyDescent="0.25">
      <c r="A205" t="s">
        <v>32</v>
      </c>
      <c r="B205">
        <v>2019</v>
      </c>
      <c r="C205" s="4">
        <f t="shared" si="24"/>
        <v>43770</v>
      </c>
      <c r="D205">
        <v>11</v>
      </c>
      <c r="E205">
        <v>194</v>
      </c>
      <c r="F205">
        <v>155</v>
      </c>
      <c r="G205" s="1">
        <f t="shared" si="25"/>
        <v>39</v>
      </c>
      <c r="H205">
        <v>267</v>
      </c>
      <c r="I205" s="2">
        <v>0</v>
      </c>
      <c r="J205">
        <v>827</v>
      </c>
      <c r="K205" s="3">
        <v>2.4537037037037036E-3</v>
      </c>
      <c r="L205" s="3">
        <f t="shared" si="26"/>
        <v>3.0973782771535578</v>
      </c>
      <c r="M205" s="5">
        <v>20.22</v>
      </c>
      <c r="N205">
        <v>54</v>
      </c>
      <c r="O205" s="7">
        <v>15128</v>
      </c>
      <c r="P205">
        <v>101</v>
      </c>
      <c r="Q205" s="10">
        <f t="shared" si="27"/>
        <v>20.103092783505154</v>
      </c>
      <c r="R205" s="6">
        <f t="shared" si="28"/>
        <v>77.979381443298962</v>
      </c>
      <c r="S205" s="6">
        <f t="shared" si="29"/>
        <v>56.659176029962545</v>
      </c>
      <c r="T205" s="6">
        <f t="shared" si="30"/>
        <v>280.14814814814815</v>
      </c>
      <c r="U205" s="10">
        <f t="shared" si="31"/>
        <v>4.9455984174085067E-2</v>
      </c>
      <c r="V205" s="6"/>
      <c r="W205" s="6"/>
    </row>
    <row r="206" spans="1:23" x14ac:dyDescent="0.25">
      <c r="A206" t="s">
        <v>40</v>
      </c>
      <c r="B206">
        <v>2020</v>
      </c>
      <c r="C206" s="4">
        <f t="shared" si="24"/>
        <v>43983</v>
      </c>
      <c r="D206">
        <v>6</v>
      </c>
      <c r="E206">
        <v>180</v>
      </c>
      <c r="F206">
        <v>83</v>
      </c>
      <c r="G206" s="1">
        <f t="shared" si="25"/>
        <v>97</v>
      </c>
      <c r="H206">
        <v>255</v>
      </c>
      <c r="I206" s="2">
        <v>0.38040000000000002</v>
      </c>
      <c r="J206" s="1">
        <v>1234</v>
      </c>
      <c r="K206" s="3">
        <v>2.650462962962963E-3</v>
      </c>
      <c r="L206" s="3">
        <f t="shared" si="26"/>
        <v>4.8392156862745095</v>
      </c>
      <c r="M206" s="5">
        <v>7.45</v>
      </c>
      <c r="N206">
        <v>19</v>
      </c>
      <c r="O206" s="7">
        <v>4106</v>
      </c>
      <c r="P206">
        <v>47</v>
      </c>
      <c r="Q206" s="10">
        <f t="shared" si="27"/>
        <v>53.888888888888886</v>
      </c>
      <c r="R206" s="6">
        <f t="shared" si="28"/>
        <v>22.81111111111111</v>
      </c>
      <c r="S206" s="6">
        <f t="shared" si="29"/>
        <v>16.101960784313725</v>
      </c>
      <c r="T206" s="6">
        <f t="shared" si="30"/>
        <v>216.10526315789474</v>
      </c>
      <c r="U206" s="10">
        <f t="shared" si="31"/>
        <v>0.13422818791946309</v>
      </c>
      <c r="V206" s="6"/>
      <c r="W206" s="6"/>
    </row>
    <row r="207" spans="1:23" hidden="1" x14ac:dyDescent="0.25">
      <c r="A207" t="s">
        <v>39</v>
      </c>
      <c r="B207">
        <v>2019</v>
      </c>
      <c r="C207" s="4">
        <f t="shared" si="24"/>
        <v>43739</v>
      </c>
      <c r="D207">
        <v>10</v>
      </c>
      <c r="E207">
        <v>86</v>
      </c>
      <c r="F207">
        <v>6</v>
      </c>
      <c r="G207" s="1">
        <f t="shared" si="25"/>
        <v>80</v>
      </c>
      <c r="H207">
        <v>248</v>
      </c>
      <c r="I207" s="2">
        <v>0.4677</v>
      </c>
      <c r="J207">
        <v>449</v>
      </c>
      <c r="K207" s="3">
        <v>8.3333333333333339E-4</v>
      </c>
      <c r="L207" s="3">
        <f t="shared" si="26"/>
        <v>1.810483870967742</v>
      </c>
      <c r="M207" s="5">
        <v>0</v>
      </c>
      <c r="N207">
        <v>0</v>
      </c>
      <c r="O207" s="7">
        <v>0</v>
      </c>
      <c r="P207">
        <v>0</v>
      </c>
      <c r="Q207" s="10">
        <f t="shared" si="27"/>
        <v>93.023255813953483</v>
      </c>
      <c r="R207" s="6">
        <f t="shared" si="28"/>
        <v>0</v>
      </c>
      <c r="S207" s="6">
        <f t="shared" si="29"/>
        <v>0</v>
      </c>
      <c r="T207" s="6" t="e">
        <f t="shared" si="30"/>
        <v>#DIV/0!</v>
      </c>
      <c r="U207" s="10" t="e">
        <f t="shared" si="31"/>
        <v>#DIV/0!</v>
      </c>
      <c r="V207" s="6">
        <f>SUMIF(B207:B452,2019,F207:F452)</f>
        <v>1350</v>
      </c>
      <c r="W207" s="6">
        <f>AVERAGEIF($B$2:$B$247,2019,$M$2:$M$247)</f>
        <v>2.9876404494382021</v>
      </c>
    </row>
    <row r="208" spans="1:23" x14ac:dyDescent="0.25">
      <c r="A208" t="s">
        <v>44</v>
      </c>
      <c r="B208">
        <v>2019</v>
      </c>
      <c r="C208" s="4">
        <f t="shared" si="24"/>
        <v>43800</v>
      </c>
      <c r="D208">
        <v>12</v>
      </c>
      <c r="E208">
        <v>193</v>
      </c>
      <c r="F208">
        <v>171</v>
      </c>
      <c r="G208" s="1">
        <f t="shared" si="25"/>
        <v>22</v>
      </c>
      <c r="H208">
        <v>235</v>
      </c>
      <c r="I208" s="2">
        <v>0.38719999999999999</v>
      </c>
      <c r="J208" s="1">
        <v>1581</v>
      </c>
      <c r="K208" s="3">
        <v>2.673611111111111E-3</v>
      </c>
      <c r="L208" s="3">
        <f t="shared" si="26"/>
        <v>6.7276595744680847</v>
      </c>
      <c r="M208" s="5">
        <v>0.85</v>
      </c>
      <c r="N208">
        <v>2</v>
      </c>
      <c r="O208" s="7">
        <v>503</v>
      </c>
      <c r="P208">
        <v>2</v>
      </c>
      <c r="Q208" s="10">
        <f t="shared" si="27"/>
        <v>11.398963730569948</v>
      </c>
      <c r="R208" s="6">
        <f t="shared" si="28"/>
        <v>2.6062176165803108</v>
      </c>
      <c r="S208" s="6">
        <f t="shared" si="29"/>
        <v>2.1404255319148935</v>
      </c>
      <c r="T208" s="6">
        <f t="shared" si="30"/>
        <v>251.5</v>
      </c>
      <c r="U208" s="10">
        <f t="shared" si="31"/>
        <v>1.1764705882352942</v>
      </c>
      <c r="V208" s="6"/>
      <c r="W208" s="6"/>
    </row>
    <row r="209" spans="1:23" x14ac:dyDescent="0.25">
      <c r="A209" t="s">
        <v>44</v>
      </c>
      <c r="B209">
        <v>2019</v>
      </c>
      <c r="C209" s="4">
        <f t="shared" si="24"/>
        <v>43770</v>
      </c>
      <c r="D209">
        <v>11</v>
      </c>
      <c r="E209">
        <v>188</v>
      </c>
      <c r="F209">
        <v>157</v>
      </c>
      <c r="G209" s="1">
        <f t="shared" si="25"/>
        <v>31</v>
      </c>
      <c r="H209">
        <v>223</v>
      </c>
      <c r="I209" s="2">
        <v>0.4798</v>
      </c>
      <c r="J209">
        <v>828</v>
      </c>
      <c r="K209" s="3">
        <v>1.8981481481481482E-3</v>
      </c>
      <c r="L209" s="3">
        <f t="shared" si="26"/>
        <v>3.7130044843049328</v>
      </c>
      <c r="M209" s="5">
        <v>0.9</v>
      </c>
      <c r="N209">
        <v>2</v>
      </c>
      <c r="O209" s="7">
        <v>343</v>
      </c>
      <c r="P209">
        <v>2</v>
      </c>
      <c r="Q209" s="10">
        <f t="shared" si="27"/>
        <v>16.48936170212766</v>
      </c>
      <c r="R209" s="6">
        <f t="shared" si="28"/>
        <v>1.824468085106383</v>
      </c>
      <c r="S209" s="6">
        <f t="shared" si="29"/>
        <v>1.5381165919282511</v>
      </c>
      <c r="T209" s="6">
        <f t="shared" si="30"/>
        <v>171.5</v>
      </c>
      <c r="U209" s="10">
        <f t="shared" si="31"/>
        <v>1.1111111111111112</v>
      </c>
      <c r="V209" s="6"/>
      <c r="W209" s="6"/>
    </row>
    <row r="210" spans="1:23" hidden="1" x14ac:dyDescent="0.25">
      <c r="A210" t="s">
        <v>45</v>
      </c>
      <c r="B210">
        <v>2020</v>
      </c>
      <c r="C210" s="4">
        <f t="shared" si="24"/>
        <v>43922</v>
      </c>
      <c r="D210">
        <v>4</v>
      </c>
      <c r="E210">
        <v>216</v>
      </c>
      <c r="F210">
        <v>213</v>
      </c>
      <c r="G210" s="1">
        <f t="shared" si="25"/>
        <v>3</v>
      </c>
      <c r="H210">
        <v>219</v>
      </c>
      <c r="I210" s="2">
        <v>0.98629999999999995</v>
      </c>
      <c r="J210">
        <v>237</v>
      </c>
      <c r="K210" s="3">
        <v>2.3148148148148147E-5</v>
      </c>
      <c r="L210" s="3">
        <f t="shared" si="26"/>
        <v>1.0821917808219179</v>
      </c>
      <c r="M210" s="5">
        <v>0</v>
      </c>
      <c r="N210">
        <v>0</v>
      </c>
      <c r="O210" s="7">
        <v>0</v>
      </c>
      <c r="P210">
        <v>0</v>
      </c>
      <c r="Q210" s="10">
        <f t="shared" si="27"/>
        <v>1.3888888888888888</v>
      </c>
      <c r="R210" s="6">
        <f t="shared" si="28"/>
        <v>0</v>
      </c>
      <c r="S210" s="6">
        <f t="shared" si="29"/>
        <v>0</v>
      </c>
      <c r="T210" s="6" t="e">
        <f t="shared" si="30"/>
        <v>#DIV/0!</v>
      </c>
      <c r="U210" s="10" t="e">
        <f t="shared" si="31"/>
        <v>#DIV/0!</v>
      </c>
      <c r="V210" s="6">
        <f>SUMIF(B210:B455,2019,F210:F455)</f>
        <v>1016</v>
      </c>
      <c r="W210" s="6">
        <f>AVERAGEIF($B$2:$B$247,2019,$M$2:$M$247)</f>
        <v>2.9876404494382021</v>
      </c>
    </row>
    <row r="211" spans="1:23" x14ac:dyDescent="0.25">
      <c r="A211" t="s">
        <v>32</v>
      </c>
      <c r="B211">
        <v>2019</v>
      </c>
      <c r="C211" s="4">
        <f t="shared" si="24"/>
        <v>43739</v>
      </c>
      <c r="D211">
        <v>10</v>
      </c>
      <c r="E211">
        <v>146</v>
      </c>
      <c r="F211">
        <v>114</v>
      </c>
      <c r="G211" s="1">
        <f t="shared" si="25"/>
        <v>32</v>
      </c>
      <c r="H211">
        <v>216</v>
      </c>
      <c r="I211" s="2">
        <v>0</v>
      </c>
      <c r="J211">
        <v>722</v>
      </c>
      <c r="K211" s="3">
        <v>2.8472222222222223E-3</v>
      </c>
      <c r="L211" s="3">
        <f t="shared" si="26"/>
        <v>3.3425925925925926</v>
      </c>
      <c r="M211" s="5">
        <v>31.02</v>
      </c>
      <c r="N211">
        <v>67</v>
      </c>
      <c r="O211" s="7">
        <v>15358</v>
      </c>
      <c r="P211">
        <v>110</v>
      </c>
      <c r="Q211" s="10">
        <f t="shared" si="27"/>
        <v>21.917808219178081</v>
      </c>
      <c r="R211" s="6">
        <f t="shared" si="28"/>
        <v>105.1917808219178</v>
      </c>
      <c r="S211" s="6">
        <f t="shared" si="29"/>
        <v>71.101851851851848</v>
      </c>
      <c r="T211" s="6">
        <f t="shared" si="30"/>
        <v>229.22388059701493</v>
      </c>
      <c r="U211" s="10">
        <f t="shared" si="31"/>
        <v>3.2237266279819474E-2</v>
      </c>
      <c r="V211" s="6"/>
      <c r="W211" s="6"/>
    </row>
    <row r="212" spans="1:23" x14ac:dyDescent="0.25">
      <c r="A212" t="s">
        <v>46</v>
      </c>
      <c r="B212">
        <v>2020</v>
      </c>
      <c r="C212" s="4">
        <f t="shared" si="24"/>
        <v>44044</v>
      </c>
      <c r="D212">
        <v>8</v>
      </c>
      <c r="E212">
        <v>81</v>
      </c>
      <c r="F212">
        <v>15</v>
      </c>
      <c r="G212" s="1">
        <f t="shared" si="25"/>
        <v>66</v>
      </c>
      <c r="H212">
        <v>215</v>
      </c>
      <c r="I212" s="2">
        <v>0.25580000000000003</v>
      </c>
      <c r="J212" s="1">
        <v>1389</v>
      </c>
      <c r="K212" s="3">
        <v>3.6805555555555554E-3</v>
      </c>
      <c r="L212" s="3">
        <f t="shared" si="26"/>
        <v>6.4604651162790701</v>
      </c>
      <c r="M212" s="5">
        <v>1.4</v>
      </c>
      <c r="N212">
        <v>3</v>
      </c>
      <c r="O212" s="7">
        <v>439</v>
      </c>
      <c r="P212">
        <v>7</v>
      </c>
      <c r="Q212" s="10">
        <f t="shared" si="27"/>
        <v>81.481481481481481</v>
      </c>
      <c r="R212" s="6">
        <f t="shared" si="28"/>
        <v>5.4197530864197532</v>
      </c>
      <c r="S212" s="6">
        <f t="shared" si="29"/>
        <v>2.0418604651162791</v>
      </c>
      <c r="T212" s="6">
        <f t="shared" si="30"/>
        <v>146.33333333333334</v>
      </c>
      <c r="U212" s="10">
        <f t="shared" si="31"/>
        <v>0.7142857142857143</v>
      </c>
      <c r="V212" s="6"/>
      <c r="W212" s="6"/>
    </row>
    <row r="213" spans="1:23" x14ac:dyDescent="0.25">
      <c r="A213" t="s">
        <v>47</v>
      </c>
      <c r="B213">
        <v>2020</v>
      </c>
      <c r="C213" s="4">
        <f t="shared" si="24"/>
        <v>44044</v>
      </c>
      <c r="D213">
        <v>8</v>
      </c>
      <c r="E213">
        <v>102</v>
      </c>
      <c r="F213">
        <v>24</v>
      </c>
      <c r="G213" s="1">
        <f t="shared" si="25"/>
        <v>78</v>
      </c>
      <c r="H213">
        <v>214</v>
      </c>
      <c r="I213" s="2">
        <v>0.42059999999999997</v>
      </c>
      <c r="J213">
        <v>986</v>
      </c>
      <c r="K213" s="3">
        <v>3.2060185185185186E-3</v>
      </c>
      <c r="L213" s="3">
        <f t="shared" si="26"/>
        <v>4.6074766355140184</v>
      </c>
      <c r="M213" s="5">
        <v>1.4</v>
      </c>
      <c r="N213">
        <v>3</v>
      </c>
      <c r="O213" s="7">
        <v>450</v>
      </c>
      <c r="P213">
        <v>10</v>
      </c>
      <c r="Q213" s="10">
        <f t="shared" si="27"/>
        <v>76.470588235294116</v>
      </c>
      <c r="R213" s="6">
        <f t="shared" si="28"/>
        <v>4.4117647058823533</v>
      </c>
      <c r="S213" s="6">
        <f t="shared" si="29"/>
        <v>2.1028037383177569</v>
      </c>
      <c r="T213" s="6">
        <f t="shared" si="30"/>
        <v>150</v>
      </c>
      <c r="U213" s="10">
        <f t="shared" si="31"/>
        <v>0.7142857142857143</v>
      </c>
      <c r="V213" s="6"/>
      <c r="W213" s="6"/>
    </row>
    <row r="214" spans="1:23" hidden="1" x14ac:dyDescent="0.25">
      <c r="A214" t="s">
        <v>42</v>
      </c>
      <c r="B214">
        <v>2019</v>
      </c>
      <c r="C214" s="4">
        <f t="shared" si="24"/>
        <v>43800</v>
      </c>
      <c r="D214">
        <v>12</v>
      </c>
      <c r="E214">
        <v>135</v>
      </c>
      <c r="F214">
        <v>73</v>
      </c>
      <c r="G214" s="1">
        <f t="shared" si="25"/>
        <v>62</v>
      </c>
      <c r="H214">
        <v>211</v>
      </c>
      <c r="I214" s="2">
        <v>0.54979999999999996</v>
      </c>
      <c r="J214">
        <v>632</v>
      </c>
      <c r="K214" s="3">
        <v>1.0648148148148149E-3</v>
      </c>
      <c r="L214" s="3">
        <f t="shared" si="26"/>
        <v>2.9952606635071088</v>
      </c>
      <c r="M214" s="5">
        <v>0</v>
      </c>
      <c r="N214">
        <v>0</v>
      </c>
      <c r="O214" s="7">
        <v>0</v>
      </c>
      <c r="P214">
        <v>0</v>
      </c>
      <c r="Q214" s="10">
        <f t="shared" si="27"/>
        <v>45.925925925925924</v>
      </c>
      <c r="R214" s="6">
        <f t="shared" si="28"/>
        <v>0</v>
      </c>
      <c r="S214" s="6">
        <f t="shared" si="29"/>
        <v>0</v>
      </c>
      <c r="T214" s="6" t="e">
        <f t="shared" si="30"/>
        <v>#DIV/0!</v>
      </c>
      <c r="U214" s="10" t="e">
        <f t="shared" si="31"/>
        <v>#DIV/0!</v>
      </c>
      <c r="V214" s="6">
        <f>SUMIF(B214:B459,2019,F214:F459)</f>
        <v>902</v>
      </c>
      <c r="W214" s="6">
        <f>AVERAGEIF($B$2:$B$247,2019,$M$2:$M$247)</f>
        <v>2.9876404494382021</v>
      </c>
    </row>
    <row r="215" spans="1:23" hidden="1" x14ac:dyDescent="0.25">
      <c r="A215" t="s">
        <v>42</v>
      </c>
      <c r="B215">
        <v>2019</v>
      </c>
      <c r="C215" s="4">
        <f t="shared" si="24"/>
        <v>43709</v>
      </c>
      <c r="D215">
        <v>9</v>
      </c>
      <c r="E215">
        <v>128</v>
      </c>
      <c r="F215">
        <v>62</v>
      </c>
      <c r="G215" s="1">
        <f t="shared" si="25"/>
        <v>66</v>
      </c>
      <c r="H215">
        <v>210</v>
      </c>
      <c r="I215" s="2">
        <v>0.5333</v>
      </c>
      <c r="J215">
        <v>687</v>
      </c>
      <c r="K215" s="3">
        <v>1.4699074074074074E-3</v>
      </c>
      <c r="L215" s="3">
        <f t="shared" si="26"/>
        <v>3.2714285714285714</v>
      </c>
      <c r="M215" s="5">
        <v>0</v>
      </c>
      <c r="N215">
        <v>0</v>
      </c>
      <c r="O215" s="7">
        <v>0</v>
      </c>
      <c r="P215">
        <v>0</v>
      </c>
      <c r="Q215" s="10">
        <f t="shared" si="27"/>
        <v>51.5625</v>
      </c>
      <c r="R215" s="6">
        <f t="shared" si="28"/>
        <v>0</v>
      </c>
      <c r="S215" s="6">
        <f t="shared" si="29"/>
        <v>0</v>
      </c>
      <c r="T215" s="6" t="e">
        <f t="shared" si="30"/>
        <v>#DIV/0!</v>
      </c>
      <c r="U215" s="10" t="e">
        <f t="shared" si="31"/>
        <v>#DIV/0!</v>
      </c>
      <c r="V215" s="6">
        <f>SUMIF(B215:B460,2019,F215:F460)</f>
        <v>829</v>
      </c>
      <c r="W215" s="6">
        <f>AVERAGEIF($B$2:$B$247,2019,$M$2:$M$247)</f>
        <v>2.9876404494382021</v>
      </c>
    </row>
    <row r="216" spans="1:23" hidden="1" x14ac:dyDescent="0.25">
      <c r="A216" t="s">
        <v>20</v>
      </c>
      <c r="B216">
        <v>2020</v>
      </c>
      <c r="C216" s="4">
        <f t="shared" si="24"/>
        <v>43831</v>
      </c>
      <c r="D216">
        <v>1</v>
      </c>
      <c r="E216">
        <v>86</v>
      </c>
      <c r="F216">
        <v>15</v>
      </c>
      <c r="G216" s="1">
        <f t="shared" si="25"/>
        <v>71</v>
      </c>
      <c r="H216">
        <v>206</v>
      </c>
      <c r="I216" s="2">
        <v>0.83979999999999999</v>
      </c>
      <c r="J216">
        <v>279</v>
      </c>
      <c r="K216" s="3">
        <v>4.861111111111111E-4</v>
      </c>
      <c r="L216" s="3">
        <f t="shared" si="26"/>
        <v>1.354368932038835</v>
      </c>
      <c r="M216" s="5">
        <v>0</v>
      </c>
      <c r="N216">
        <v>0</v>
      </c>
      <c r="O216" s="7">
        <v>0</v>
      </c>
      <c r="P216">
        <v>0</v>
      </c>
      <c r="Q216" s="10">
        <f t="shared" si="27"/>
        <v>82.558139534883722</v>
      </c>
      <c r="R216" s="6">
        <f t="shared" si="28"/>
        <v>0</v>
      </c>
      <c r="S216" s="6">
        <f t="shared" si="29"/>
        <v>0</v>
      </c>
      <c r="T216" s="6" t="e">
        <f t="shared" si="30"/>
        <v>#DIV/0!</v>
      </c>
      <c r="U216" s="10" t="e">
        <f t="shared" si="31"/>
        <v>#DIV/0!</v>
      </c>
      <c r="V216" s="6">
        <f>SUMIF(B216:B461,2019,F216:F461)</f>
        <v>767</v>
      </c>
      <c r="W216" s="6">
        <f>AVERAGEIF($B$2:$B$247,2019,$M$2:$M$247)</f>
        <v>2.9876404494382021</v>
      </c>
    </row>
    <row r="217" spans="1:23" x14ac:dyDescent="0.25">
      <c r="A217" t="s">
        <v>43</v>
      </c>
      <c r="B217">
        <v>2019</v>
      </c>
      <c r="C217" s="4">
        <f t="shared" si="24"/>
        <v>43739</v>
      </c>
      <c r="D217">
        <v>10</v>
      </c>
      <c r="E217">
        <v>114</v>
      </c>
      <c r="F217">
        <v>3</v>
      </c>
      <c r="G217" s="1">
        <f t="shared" si="25"/>
        <v>111</v>
      </c>
      <c r="H217">
        <v>203</v>
      </c>
      <c r="I217" s="2">
        <v>0.2414</v>
      </c>
      <c r="J217" s="1">
        <v>1188</v>
      </c>
      <c r="K217" s="3">
        <v>3.449074074074074E-3</v>
      </c>
      <c r="L217" s="3">
        <f t="shared" si="26"/>
        <v>5.8522167487684733</v>
      </c>
      <c r="M217" s="5">
        <v>2.96</v>
      </c>
      <c r="N217">
        <v>6</v>
      </c>
      <c r="O217" s="7">
        <v>1698</v>
      </c>
      <c r="P217">
        <v>8</v>
      </c>
      <c r="Q217" s="10">
        <f t="shared" si="27"/>
        <v>97.368421052631575</v>
      </c>
      <c r="R217" s="6">
        <f t="shared" si="28"/>
        <v>14.894736842105264</v>
      </c>
      <c r="S217" s="6">
        <f t="shared" si="29"/>
        <v>8.3645320197044342</v>
      </c>
      <c r="T217" s="6">
        <f t="shared" si="30"/>
        <v>283</v>
      </c>
      <c r="U217" s="10">
        <f t="shared" si="31"/>
        <v>0.33783783783783783</v>
      </c>
      <c r="V217" s="6"/>
      <c r="W217" s="6"/>
    </row>
    <row r="218" spans="1:23" hidden="1" x14ac:dyDescent="0.25">
      <c r="A218" t="s">
        <v>48</v>
      </c>
      <c r="B218">
        <v>2019</v>
      </c>
      <c r="C218" s="4">
        <f t="shared" si="24"/>
        <v>43770</v>
      </c>
      <c r="D218">
        <v>11</v>
      </c>
      <c r="E218">
        <v>158</v>
      </c>
      <c r="F218">
        <v>132</v>
      </c>
      <c r="G218" s="1">
        <f t="shared" si="25"/>
        <v>26</v>
      </c>
      <c r="H218">
        <v>198</v>
      </c>
      <c r="I218" s="2">
        <v>0.33839999999999998</v>
      </c>
      <c r="J218" s="1">
        <v>1388</v>
      </c>
      <c r="K218" s="3">
        <v>2.7199074074074074E-3</v>
      </c>
      <c r="L218" s="3">
        <f t="shared" si="26"/>
        <v>7.0101010101010104</v>
      </c>
      <c r="M218" s="5">
        <v>0</v>
      </c>
      <c r="N218">
        <v>0</v>
      </c>
      <c r="O218" s="7">
        <v>0</v>
      </c>
      <c r="P218">
        <v>0</v>
      </c>
      <c r="Q218" s="10">
        <f t="shared" si="27"/>
        <v>16.455696202531644</v>
      </c>
      <c r="R218" s="6">
        <f t="shared" si="28"/>
        <v>0</v>
      </c>
      <c r="S218" s="6">
        <f t="shared" si="29"/>
        <v>0</v>
      </c>
      <c r="T218" s="6" t="e">
        <f t="shared" si="30"/>
        <v>#DIV/0!</v>
      </c>
      <c r="U218" s="10" t="e">
        <f t="shared" si="31"/>
        <v>#DIV/0!</v>
      </c>
      <c r="V218" s="6">
        <f>SUMIF(B218:B463,2019,F218:F463)</f>
        <v>764</v>
      </c>
      <c r="W218" s="6">
        <f>AVERAGEIF($B$2:$B$247,2019,$M$2:$M$247)</f>
        <v>2.9876404494382021</v>
      </c>
    </row>
    <row r="219" spans="1:23" x14ac:dyDescent="0.25">
      <c r="A219" t="s">
        <v>40</v>
      </c>
      <c r="B219">
        <v>2020</v>
      </c>
      <c r="C219" s="4">
        <f t="shared" si="24"/>
        <v>44013</v>
      </c>
      <c r="D219">
        <v>7</v>
      </c>
      <c r="E219">
        <v>108</v>
      </c>
      <c r="F219">
        <v>47</v>
      </c>
      <c r="G219" s="1">
        <f t="shared" si="25"/>
        <v>61</v>
      </c>
      <c r="H219">
        <v>193</v>
      </c>
      <c r="I219" s="2">
        <v>0.3679</v>
      </c>
      <c r="J219" s="1">
        <v>1007</v>
      </c>
      <c r="K219" s="3">
        <v>2.8009259259259259E-3</v>
      </c>
      <c r="L219" s="3">
        <f t="shared" si="26"/>
        <v>5.2176165803108807</v>
      </c>
      <c r="M219" s="5">
        <v>6.74</v>
      </c>
      <c r="N219">
        <v>13</v>
      </c>
      <c r="O219" s="7">
        <v>2081</v>
      </c>
      <c r="P219">
        <v>39</v>
      </c>
      <c r="Q219" s="10">
        <f t="shared" si="27"/>
        <v>56.481481481481474</v>
      </c>
      <c r="R219" s="6">
        <f t="shared" si="28"/>
        <v>19.268518518518519</v>
      </c>
      <c r="S219" s="6">
        <f t="shared" si="29"/>
        <v>10.782383419689118</v>
      </c>
      <c r="T219" s="6">
        <f t="shared" si="30"/>
        <v>160.07692307692307</v>
      </c>
      <c r="U219" s="10">
        <f t="shared" si="31"/>
        <v>0.14836795252225518</v>
      </c>
      <c r="V219" s="6"/>
      <c r="W219" s="6"/>
    </row>
    <row r="220" spans="1:23" x14ac:dyDescent="0.25">
      <c r="A220" t="s">
        <v>44</v>
      </c>
      <c r="B220">
        <v>2020</v>
      </c>
      <c r="C220" s="4">
        <f t="shared" si="24"/>
        <v>43831</v>
      </c>
      <c r="D220">
        <v>1</v>
      </c>
      <c r="E220">
        <v>140</v>
      </c>
      <c r="F220">
        <v>127</v>
      </c>
      <c r="G220" s="1">
        <f t="shared" si="25"/>
        <v>13</v>
      </c>
      <c r="H220">
        <v>192</v>
      </c>
      <c r="I220" s="2">
        <v>0.50519999999999998</v>
      </c>
      <c r="J220">
        <v>893</v>
      </c>
      <c r="K220" s="3">
        <v>1.9907407407407408E-3</v>
      </c>
      <c r="L220" s="3">
        <f t="shared" si="26"/>
        <v>4.651041666666667</v>
      </c>
      <c r="M220" s="5">
        <v>0.52</v>
      </c>
      <c r="N220">
        <v>1</v>
      </c>
      <c r="O220" s="7">
        <v>195</v>
      </c>
      <c r="P220">
        <v>1</v>
      </c>
      <c r="Q220" s="10">
        <f t="shared" si="27"/>
        <v>9.2857142857142865</v>
      </c>
      <c r="R220" s="6">
        <f t="shared" si="28"/>
        <v>1.3928571428571428</v>
      </c>
      <c r="S220" s="6">
        <f t="shared" si="29"/>
        <v>1.015625</v>
      </c>
      <c r="T220" s="6">
        <f t="shared" si="30"/>
        <v>195</v>
      </c>
      <c r="U220" s="10">
        <f t="shared" si="31"/>
        <v>1.9230769230769229</v>
      </c>
      <c r="V220" s="6"/>
      <c r="W220" s="6"/>
    </row>
    <row r="221" spans="1:23" x14ac:dyDescent="0.25">
      <c r="A221" t="s">
        <v>43</v>
      </c>
      <c r="B221">
        <v>2019</v>
      </c>
      <c r="C221" s="4">
        <f t="shared" si="24"/>
        <v>43770</v>
      </c>
      <c r="D221">
        <v>11</v>
      </c>
      <c r="E221">
        <v>116</v>
      </c>
      <c r="F221">
        <v>13</v>
      </c>
      <c r="G221" s="1">
        <f t="shared" si="25"/>
        <v>103</v>
      </c>
      <c r="H221">
        <v>191</v>
      </c>
      <c r="I221" s="2">
        <v>0.26179999999999998</v>
      </c>
      <c r="J221" s="1">
        <v>1277</v>
      </c>
      <c r="K221" s="3">
        <v>3.7037037037037038E-3</v>
      </c>
      <c r="L221" s="3">
        <f t="shared" si="26"/>
        <v>6.6858638743455501</v>
      </c>
      <c r="M221" s="5">
        <v>3.66</v>
      </c>
      <c r="N221">
        <v>7</v>
      </c>
      <c r="O221" s="7">
        <v>1995</v>
      </c>
      <c r="P221">
        <v>15</v>
      </c>
      <c r="Q221" s="10">
        <f t="shared" si="27"/>
        <v>88.793103448275872</v>
      </c>
      <c r="R221" s="6">
        <f t="shared" si="28"/>
        <v>17.198275862068964</v>
      </c>
      <c r="S221" s="6">
        <f t="shared" si="29"/>
        <v>10.445026178010471</v>
      </c>
      <c r="T221" s="6">
        <f t="shared" si="30"/>
        <v>285</v>
      </c>
      <c r="U221" s="10">
        <f t="shared" si="31"/>
        <v>0.27322404371584696</v>
      </c>
      <c r="V221" s="6"/>
      <c r="W221" s="6"/>
    </row>
    <row r="222" spans="1:23" hidden="1" x14ac:dyDescent="0.25">
      <c r="A222" t="s">
        <v>24</v>
      </c>
      <c r="B222">
        <v>2020</v>
      </c>
      <c r="C222" s="4">
        <f t="shared" si="24"/>
        <v>43922</v>
      </c>
      <c r="D222">
        <v>4</v>
      </c>
      <c r="E222">
        <v>54</v>
      </c>
      <c r="F222">
        <v>4</v>
      </c>
      <c r="G222" s="1">
        <f t="shared" si="25"/>
        <v>50</v>
      </c>
      <c r="H222">
        <v>191</v>
      </c>
      <c r="I222" s="2">
        <v>0.75919999999999999</v>
      </c>
      <c r="J222">
        <v>287</v>
      </c>
      <c r="K222" s="3">
        <v>1.0069444444444444E-3</v>
      </c>
      <c r="L222" s="3">
        <f t="shared" si="26"/>
        <v>1.5026178010471205</v>
      </c>
      <c r="M222" s="5">
        <v>0</v>
      </c>
      <c r="N222">
        <v>0</v>
      </c>
      <c r="O222" s="7">
        <v>0</v>
      </c>
      <c r="P222">
        <v>0</v>
      </c>
      <c r="Q222" s="10">
        <f t="shared" si="27"/>
        <v>92.592592592592595</v>
      </c>
      <c r="R222" s="6">
        <f t="shared" si="28"/>
        <v>0</v>
      </c>
      <c r="S222" s="6">
        <f t="shared" si="29"/>
        <v>0</v>
      </c>
      <c r="T222" s="6" t="e">
        <f t="shared" si="30"/>
        <v>#DIV/0!</v>
      </c>
      <c r="U222" s="10" t="e">
        <f t="shared" si="31"/>
        <v>#DIV/0!</v>
      </c>
      <c r="V222" s="6">
        <f>SUMIF(B222:B467,2019,F222:F467)</f>
        <v>619</v>
      </c>
      <c r="W222" s="6">
        <f>AVERAGEIF($B$2:$B$247,2019,$M$2:$M$247)</f>
        <v>2.9876404494382021</v>
      </c>
    </row>
    <row r="223" spans="1:23" hidden="1" x14ac:dyDescent="0.25">
      <c r="A223" t="s">
        <v>44</v>
      </c>
      <c r="B223">
        <v>2019</v>
      </c>
      <c r="C223" s="4">
        <f t="shared" si="24"/>
        <v>43739</v>
      </c>
      <c r="D223">
        <v>10</v>
      </c>
      <c r="E223">
        <v>162</v>
      </c>
      <c r="F223">
        <v>144</v>
      </c>
      <c r="G223" s="1">
        <f t="shared" si="25"/>
        <v>18</v>
      </c>
      <c r="H223">
        <v>190</v>
      </c>
      <c r="I223" s="2">
        <v>0.4158</v>
      </c>
      <c r="J223">
        <v>720</v>
      </c>
      <c r="K223" s="3">
        <v>1.3310185185185185E-3</v>
      </c>
      <c r="L223" s="3">
        <f t="shared" si="26"/>
        <v>3.7894736842105261</v>
      </c>
      <c r="M223" s="5">
        <v>0</v>
      </c>
      <c r="N223">
        <v>0</v>
      </c>
      <c r="O223" s="7">
        <v>0</v>
      </c>
      <c r="P223">
        <v>0</v>
      </c>
      <c r="Q223" s="10">
        <f t="shared" si="27"/>
        <v>11.111111111111111</v>
      </c>
      <c r="R223" s="6">
        <f t="shared" si="28"/>
        <v>0</v>
      </c>
      <c r="S223" s="6">
        <f t="shared" si="29"/>
        <v>0</v>
      </c>
      <c r="T223" s="6" t="e">
        <f t="shared" si="30"/>
        <v>#DIV/0!</v>
      </c>
      <c r="U223" s="10" t="e">
        <f t="shared" si="31"/>
        <v>#DIV/0!</v>
      </c>
      <c r="V223" s="6">
        <f>SUMIF(B223:B468,2019,F223:F468)</f>
        <v>619</v>
      </c>
      <c r="W223" s="6">
        <f>AVERAGEIF($B$2:$B$247,2019,$M$2:$M$247)</f>
        <v>2.9876404494382021</v>
      </c>
    </row>
    <row r="224" spans="1:23" x14ac:dyDescent="0.25">
      <c r="A224" t="s">
        <v>43</v>
      </c>
      <c r="B224">
        <v>2020</v>
      </c>
      <c r="C224" s="4">
        <f t="shared" si="24"/>
        <v>43831</v>
      </c>
      <c r="D224">
        <v>1</v>
      </c>
      <c r="E224">
        <v>102</v>
      </c>
      <c r="F224">
        <v>16</v>
      </c>
      <c r="G224" s="1">
        <f t="shared" si="25"/>
        <v>86</v>
      </c>
      <c r="H224">
        <v>186</v>
      </c>
      <c r="I224" s="2">
        <v>0.39250000000000002</v>
      </c>
      <c r="J224">
        <v>983</v>
      </c>
      <c r="K224" s="3">
        <v>2.5000000000000001E-3</v>
      </c>
      <c r="L224" s="3">
        <f t="shared" si="26"/>
        <v>5.28494623655914</v>
      </c>
      <c r="M224" s="5">
        <v>7.53</v>
      </c>
      <c r="N224">
        <v>14</v>
      </c>
      <c r="O224" s="7">
        <v>3796</v>
      </c>
      <c r="P224">
        <v>23</v>
      </c>
      <c r="Q224" s="10">
        <f t="shared" si="27"/>
        <v>84.313725490196077</v>
      </c>
      <c r="R224" s="6">
        <f t="shared" si="28"/>
        <v>37.215686274509807</v>
      </c>
      <c r="S224" s="6">
        <f t="shared" si="29"/>
        <v>20.408602150537636</v>
      </c>
      <c r="T224" s="6">
        <f t="shared" si="30"/>
        <v>271.14285714285717</v>
      </c>
      <c r="U224" s="10">
        <f t="shared" si="31"/>
        <v>0.13280212483399734</v>
      </c>
      <c r="V224" s="6"/>
      <c r="W224" s="6"/>
    </row>
    <row r="225" spans="1:25" hidden="1" x14ac:dyDescent="0.25">
      <c r="A225" t="s">
        <v>44</v>
      </c>
      <c r="B225">
        <v>2019</v>
      </c>
      <c r="C225" s="4">
        <f t="shared" si="24"/>
        <v>43709</v>
      </c>
      <c r="D225">
        <v>9</v>
      </c>
      <c r="E225">
        <v>164</v>
      </c>
      <c r="F225">
        <v>153</v>
      </c>
      <c r="G225" s="1">
        <f t="shared" si="25"/>
        <v>11</v>
      </c>
      <c r="H225">
        <v>180</v>
      </c>
      <c r="I225" s="2">
        <v>0.57779999999999998</v>
      </c>
      <c r="J225">
        <v>879</v>
      </c>
      <c r="K225" s="3">
        <v>2.0717592592592593E-3</v>
      </c>
      <c r="L225" s="3">
        <f t="shared" si="26"/>
        <v>4.8833333333333337</v>
      </c>
      <c r="M225" s="5">
        <v>0</v>
      </c>
      <c r="N225">
        <v>0</v>
      </c>
      <c r="O225" s="7">
        <v>0</v>
      </c>
      <c r="P225">
        <v>0</v>
      </c>
      <c r="Q225" s="10">
        <f t="shared" si="27"/>
        <v>6.7073170731707323</v>
      </c>
      <c r="R225" s="6">
        <f t="shared" si="28"/>
        <v>0</v>
      </c>
      <c r="S225" s="6">
        <f t="shared" si="29"/>
        <v>0</v>
      </c>
      <c r="T225" s="6" t="e">
        <f t="shared" si="30"/>
        <v>#DIV/0!</v>
      </c>
      <c r="U225" s="10" t="e">
        <f t="shared" si="31"/>
        <v>#DIV/0!</v>
      </c>
      <c r="V225" s="6">
        <f>SUMIF(B225:B470,2019,F225:F470)</f>
        <v>475</v>
      </c>
      <c r="W225" s="6">
        <f>AVERAGEIF($B$2:$B$247,2019,$M$2:$M$247)</f>
        <v>2.9876404494382021</v>
      </c>
    </row>
    <row r="226" spans="1:25" x14ac:dyDescent="0.25">
      <c r="A226" t="s">
        <v>38</v>
      </c>
      <c r="B226">
        <v>2020</v>
      </c>
      <c r="C226" s="4">
        <f t="shared" si="24"/>
        <v>43983</v>
      </c>
      <c r="D226">
        <v>6</v>
      </c>
      <c r="E226">
        <v>132</v>
      </c>
      <c r="F226">
        <v>115</v>
      </c>
      <c r="G226" s="1">
        <f t="shared" si="25"/>
        <v>17</v>
      </c>
      <c r="H226">
        <v>178</v>
      </c>
      <c r="I226" s="2">
        <v>0.60670000000000002</v>
      </c>
      <c r="J226">
        <v>511</v>
      </c>
      <c r="K226" s="3">
        <v>1.6435185185185185E-3</v>
      </c>
      <c r="L226" s="3">
        <f t="shared" si="26"/>
        <v>2.8707865168539324</v>
      </c>
      <c r="M226" s="5">
        <v>0.56000000000000005</v>
      </c>
      <c r="N226">
        <v>1</v>
      </c>
      <c r="O226" s="7">
        <v>81</v>
      </c>
      <c r="P226">
        <v>1</v>
      </c>
      <c r="Q226" s="10">
        <f t="shared" si="27"/>
        <v>12.878787878787879</v>
      </c>
      <c r="R226" s="6">
        <f t="shared" si="28"/>
        <v>0.61363636363636365</v>
      </c>
      <c r="S226" s="6">
        <f t="shared" si="29"/>
        <v>0.4550561797752809</v>
      </c>
      <c r="T226" s="6">
        <f t="shared" si="30"/>
        <v>81</v>
      </c>
      <c r="U226" s="10">
        <f t="shared" si="31"/>
        <v>1.7857142857142856</v>
      </c>
      <c r="V226" s="6"/>
      <c r="W226" s="6"/>
    </row>
    <row r="227" spans="1:25" hidden="1" x14ac:dyDescent="0.25">
      <c r="A227" t="s">
        <v>38</v>
      </c>
      <c r="B227">
        <v>2020</v>
      </c>
      <c r="C227" s="4">
        <f t="shared" si="24"/>
        <v>43891</v>
      </c>
      <c r="D227">
        <v>3</v>
      </c>
      <c r="E227">
        <v>138</v>
      </c>
      <c r="F227">
        <v>116</v>
      </c>
      <c r="G227" s="1">
        <f t="shared" si="25"/>
        <v>22</v>
      </c>
      <c r="H227">
        <v>173</v>
      </c>
      <c r="I227" s="2">
        <v>0.61850000000000005</v>
      </c>
      <c r="J227">
        <v>764</v>
      </c>
      <c r="K227" s="3">
        <v>2.0833333333333333E-3</v>
      </c>
      <c r="L227" s="3">
        <f t="shared" si="26"/>
        <v>4.4161849710982661</v>
      </c>
      <c r="M227" s="5">
        <v>0</v>
      </c>
      <c r="N227">
        <v>0</v>
      </c>
      <c r="O227" s="7">
        <v>0</v>
      </c>
      <c r="P227">
        <v>0</v>
      </c>
      <c r="Q227" s="10">
        <f t="shared" si="27"/>
        <v>15.942028985507244</v>
      </c>
      <c r="R227" s="6">
        <f t="shared" si="28"/>
        <v>0</v>
      </c>
      <c r="S227" s="6">
        <f t="shared" si="29"/>
        <v>0</v>
      </c>
      <c r="T227" s="6" t="e">
        <f t="shared" si="30"/>
        <v>#DIV/0!</v>
      </c>
      <c r="U227" s="10" t="e">
        <f t="shared" si="31"/>
        <v>#DIV/0!</v>
      </c>
      <c r="V227" s="6">
        <f>SUMIF(B227:B472,2019,F227:F472)</f>
        <v>322</v>
      </c>
      <c r="W227" s="6">
        <f>AVERAGEIF($B$2:$B$247,2019,$M$2:$M$247)</f>
        <v>2.9876404494382021</v>
      </c>
    </row>
    <row r="228" spans="1:25" hidden="1" x14ac:dyDescent="0.25">
      <c r="A228" t="s">
        <v>24</v>
      </c>
      <c r="B228">
        <v>2019</v>
      </c>
      <c r="C228" s="4">
        <f t="shared" si="24"/>
        <v>43709</v>
      </c>
      <c r="D228">
        <v>9</v>
      </c>
      <c r="E228">
        <v>86</v>
      </c>
      <c r="F228">
        <v>1</v>
      </c>
      <c r="G228" s="1">
        <f t="shared" si="25"/>
        <v>85</v>
      </c>
      <c r="H228">
        <v>169</v>
      </c>
      <c r="I228" s="2">
        <v>0.76919999999999999</v>
      </c>
      <c r="J228">
        <v>275</v>
      </c>
      <c r="K228" s="3">
        <v>7.0601851851851847E-4</v>
      </c>
      <c r="L228" s="3">
        <f t="shared" si="26"/>
        <v>1.6272189349112427</v>
      </c>
      <c r="M228" s="5">
        <v>0</v>
      </c>
      <c r="N228">
        <v>0</v>
      </c>
      <c r="O228" s="7">
        <v>0</v>
      </c>
      <c r="P228">
        <v>0</v>
      </c>
      <c r="Q228" s="10">
        <f t="shared" si="27"/>
        <v>98.837209302325576</v>
      </c>
      <c r="R228" s="6">
        <f t="shared" si="28"/>
        <v>0</v>
      </c>
      <c r="S228" s="6">
        <f t="shared" si="29"/>
        <v>0</v>
      </c>
      <c r="T228" s="6" t="e">
        <f t="shared" si="30"/>
        <v>#DIV/0!</v>
      </c>
      <c r="U228" s="10" t="e">
        <f t="shared" si="31"/>
        <v>#DIV/0!</v>
      </c>
      <c r="V228" s="6">
        <f>SUMIF(B228:B473,2019,F228:F473)</f>
        <v>322</v>
      </c>
      <c r="W228" s="6">
        <f>AVERAGEIF($B$2:$B$247,2019,$M$2:$M$247)</f>
        <v>2.9876404494382021</v>
      </c>
    </row>
    <row r="229" spans="1:25" x14ac:dyDescent="0.25">
      <c r="A229" t="s">
        <v>48</v>
      </c>
      <c r="B229">
        <v>2019</v>
      </c>
      <c r="C229" s="4">
        <f t="shared" si="24"/>
        <v>43739</v>
      </c>
      <c r="D229">
        <v>10</v>
      </c>
      <c r="E229">
        <v>132</v>
      </c>
      <c r="F229">
        <v>103</v>
      </c>
      <c r="G229" s="1">
        <f t="shared" si="25"/>
        <v>29</v>
      </c>
      <c r="H229">
        <v>169</v>
      </c>
      <c r="I229" s="2">
        <v>0.32540000000000002</v>
      </c>
      <c r="J229">
        <v>992</v>
      </c>
      <c r="K229" s="3">
        <v>2.673611111111111E-3</v>
      </c>
      <c r="L229" s="3">
        <f t="shared" si="26"/>
        <v>5.8698224852071004</v>
      </c>
      <c r="M229" s="5">
        <v>1.18</v>
      </c>
      <c r="N229">
        <v>2</v>
      </c>
      <c r="O229" s="7">
        <v>1558</v>
      </c>
      <c r="P229">
        <v>22</v>
      </c>
      <c r="Q229" s="10">
        <f t="shared" si="27"/>
        <v>21.969696969696969</v>
      </c>
      <c r="R229" s="6">
        <f t="shared" si="28"/>
        <v>11.803030303030303</v>
      </c>
      <c r="S229" s="6">
        <f t="shared" si="29"/>
        <v>9.218934911242604</v>
      </c>
      <c r="T229" s="6">
        <f t="shared" si="30"/>
        <v>779</v>
      </c>
      <c r="U229" s="10">
        <f t="shared" si="31"/>
        <v>0.84745762711864414</v>
      </c>
      <c r="V229" s="6"/>
      <c r="W229" s="6"/>
    </row>
    <row r="230" spans="1:25" hidden="1" x14ac:dyDescent="0.25">
      <c r="A230" t="s">
        <v>15</v>
      </c>
      <c r="B230">
        <v>2019</v>
      </c>
      <c r="C230" s="4">
        <f t="shared" si="24"/>
        <v>43770</v>
      </c>
      <c r="D230">
        <v>11</v>
      </c>
      <c r="E230">
        <v>150</v>
      </c>
      <c r="F230">
        <v>41</v>
      </c>
      <c r="G230" s="1">
        <f t="shared" si="25"/>
        <v>109</v>
      </c>
      <c r="H230">
        <v>168</v>
      </c>
      <c r="I230" s="2">
        <v>0.3095</v>
      </c>
      <c r="J230" s="1">
        <v>1188</v>
      </c>
      <c r="K230" s="3">
        <v>3.2638888888888891E-3</v>
      </c>
      <c r="L230" s="3">
        <f t="shared" si="26"/>
        <v>7.0714285714285712</v>
      </c>
      <c r="M230" s="5">
        <v>0</v>
      </c>
      <c r="N230">
        <v>0</v>
      </c>
      <c r="O230" s="7">
        <v>0</v>
      </c>
      <c r="P230">
        <v>0</v>
      </c>
      <c r="Q230" s="10">
        <f t="shared" si="27"/>
        <v>72.666666666666671</v>
      </c>
      <c r="R230" s="6">
        <f t="shared" si="28"/>
        <v>0</v>
      </c>
      <c r="S230" s="6">
        <f t="shared" si="29"/>
        <v>0</v>
      </c>
      <c r="T230" s="6" t="e">
        <f t="shared" si="30"/>
        <v>#DIV/0!</v>
      </c>
      <c r="U230" s="10" t="e">
        <f t="shared" si="31"/>
        <v>#DIV/0!</v>
      </c>
      <c r="V230" s="6">
        <f>SUMIF(B230:B475,2019,F230:F475)</f>
        <v>218</v>
      </c>
      <c r="W230" s="6">
        <f>AVERAGEIF($B$2:$B$247,2019,$M$2:$M$247)</f>
        <v>2.9876404494382021</v>
      </c>
    </row>
    <row r="231" spans="1:25" x14ac:dyDescent="0.25">
      <c r="A231" t="s">
        <v>44</v>
      </c>
      <c r="B231">
        <v>2020</v>
      </c>
      <c r="C231" s="4">
        <f t="shared" si="24"/>
        <v>43862</v>
      </c>
      <c r="D231">
        <v>2</v>
      </c>
      <c r="E231">
        <v>127</v>
      </c>
      <c r="F231">
        <v>107</v>
      </c>
      <c r="G231" s="1">
        <f t="shared" si="25"/>
        <v>20</v>
      </c>
      <c r="H231">
        <v>156</v>
      </c>
      <c r="I231" s="2">
        <v>0.47439999999999999</v>
      </c>
      <c r="J231">
        <v>737</v>
      </c>
      <c r="K231" s="3">
        <v>2.5115740740740741E-3</v>
      </c>
      <c r="L231" s="3">
        <f t="shared" si="26"/>
        <v>4.7243589743589745</v>
      </c>
      <c r="M231" s="5">
        <v>1.92</v>
      </c>
      <c r="N231">
        <v>3</v>
      </c>
      <c r="O231" s="7">
        <v>460</v>
      </c>
      <c r="P231">
        <v>11</v>
      </c>
      <c r="Q231" s="10">
        <f t="shared" si="27"/>
        <v>15.748031496062993</v>
      </c>
      <c r="R231" s="6">
        <f t="shared" si="28"/>
        <v>3.622047244094488</v>
      </c>
      <c r="S231" s="6">
        <f t="shared" si="29"/>
        <v>2.9487179487179489</v>
      </c>
      <c r="T231" s="6">
        <f t="shared" si="30"/>
        <v>153.33333333333334</v>
      </c>
      <c r="U231" s="10">
        <f t="shared" si="31"/>
        <v>0.52083333333333337</v>
      </c>
      <c r="V231" s="6"/>
      <c r="W231" s="6"/>
    </row>
    <row r="232" spans="1:25" hidden="1" x14ac:dyDescent="0.25">
      <c r="A232" t="s">
        <v>39</v>
      </c>
      <c r="B232">
        <v>2019</v>
      </c>
      <c r="C232" s="4">
        <f t="shared" si="24"/>
        <v>43770</v>
      </c>
      <c r="D232">
        <v>11</v>
      </c>
      <c r="E232">
        <v>41</v>
      </c>
      <c r="F232">
        <v>1</v>
      </c>
      <c r="G232" s="1">
        <f t="shared" si="25"/>
        <v>40</v>
      </c>
      <c r="H232">
        <v>152</v>
      </c>
      <c r="I232" s="2">
        <v>0.67759999999999998</v>
      </c>
      <c r="J232">
        <v>241</v>
      </c>
      <c r="K232" s="3">
        <v>1.261574074074074E-3</v>
      </c>
      <c r="L232" s="3">
        <f t="shared" si="26"/>
        <v>1.5855263157894737</v>
      </c>
      <c r="M232" s="5">
        <v>0</v>
      </c>
      <c r="N232">
        <v>0</v>
      </c>
      <c r="O232" s="7">
        <v>0</v>
      </c>
      <c r="P232">
        <v>0</v>
      </c>
      <c r="Q232" s="10">
        <f t="shared" si="27"/>
        <v>97.560975609756099</v>
      </c>
      <c r="R232" s="6">
        <f t="shared" si="28"/>
        <v>0</v>
      </c>
      <c r="S232" s="6">
        <f t="shared" si="29"/>
        <v>0</v>
      </c>
      <c r="T232" s="6" t="e">
        <f t="shared" si="30"/>
        <v>#DIV/0!</v>
      </c>
      <c r="U232" s="10" t="e">
        <f t="shared" si="31"/>
        <v>#DIV/0!</v>
      </c>
      <c r="V232" s="6">
        <f>SUMIF(B232:B477,2019,F232:F477)</f>
        <v>177</v>
      </c>
      <c r="W232" s="6">
        <f>AVERAGEIF($B$2:$B$247,2019,$M$2:$M$247)</f>
        <v>2.9876404494382021</v>
      </c>
    </row>
    <row r="233" spans="1:25" x14ac:dyDescent="0.25">
      <c r="A233" t="s">
        <v>17</v>
      </c>
      <c r="B233">
        <v>2020</v>
      </c>
      <c r="C233" s="4">
        <f t="shared" si="24"/>
        <v>44013</v>
      </c>
      <c r="D233">
        <v>7</v>
      </c>
      <c r="E233">
        <v>73</v>
      </c>
      <c r="F233">
        <v>18</v>
      </c>
      <c r="G233" s="1">
        <f t="shared" si="25"/>
        <v>55</v>
      </c>
      <c r="H233">
        <v>149</v>
      </c>
      <c r="I233" s="2">
        <v>0.60399999999999998</v>
      </c>
      <c r="J233">
        <v>400</v>
      </c>
      <c r="K233" s="3">
        <v>1.2847222222222223E-3</v>
      </c>
      <c r="L233" s="3">
        <f t="shared" si="26"/>
        <v>2.6845637583892619</v>
      </c>
      <c r="M233" s="5">
        <v>0.67</v>
      </c>
      <c r="N233">
        <v>1</v>
      </c>
      <c r="O233" s="7">
        <v>160</v>
      </c>
      <c r="P233">
        <v>1</v>
      </c>
      <c r="Q233" s="10">
        <f t="shared" si="27"/>
        <v>75.342465753424662</v>
      </c>
      <c r="R233" s="6">
        <f t="shared" si="28"/>
        <v>2.1917808219178081</v>
      </c>
      <c r="S233" s="6">
        <f t="shared" si="29"/>
        <v>1.0738255033557047</v>
      </c>
      <c r="T233" s="6">
        <f t="shared" si="30"/>
        <v>160</v>
      </c>
      <c r="U233" s="10">
        <f t="shared" si="31"/>
        <v>1.4925373134328357</v>
      </c>
      <c r="V233" s="6"/>
      <c r="W233" s="6"/>
    </row>
    <row r="234" spans="1:25" hidden="1" x14ac:dyDescent="0.25">
      <c r="A234" t="s">
        <v>23</v>
      </c>
      <c r="B234">
        <v>2020</v>
      </c>
      <c r="C234" s="4">
        <f t="shared" si="24"/>
        <v>43831</v>
      </c>
      <c r="D234">
        <v>1</v>
      </c>
      <c r="E234">
        <v>123</v>
      </c>
      <c r="F234">
        <v>71</v>
      </c>
      <c r="G234" s="1">
        <f t="shared" si="25"/>
        <v>52</v>
      </c>
      <c r="H234">
        <v>147</v>
      </c>
      <c r="I234" s="2">
        <v>0.70750000000000002</v>
      </c>
      <c r="J234">
        <v>335</v>
      </c>
      <c r="K234" s="3">
        <v>6.3657407407407413E-4</v>
      </c>
      <c r="L234" s="3">
        <f t="shared" si="26"/>
        <v>2.2789115646258504</v>
      </c>
      <c r="M234" s="5">
        <v>0</v>
      </c>
      <c r="N234">
        <v>0</v>
      </c>
      <c r="O234" s="7">
        <v>0</v>
      </c>
      <c r="P234">
        <v>0</v>
      </c>
      <c r="Q234" s="10">
        <f t="shared" si="27"/>
        <v>42.276422764227647</v>
      </c>
      <c r="R234" s="6">
        <f t="shared" si="28"/>
        <v>0</v>
      </c>
      <c r="S234" s="6">
        <f t="shared" si="29"/>
        <v>0</v>
      </c>
      <c r="T234" s="6" t="e">
        <f t="shared" si="30"/>
        <v>#DIV/0!</v>
      </c>
      <c r="U234" s="10" t="e">
        <f t="shared" si="31"/>
        <v>#DIV/0!</v>
      </c>
      <c r="V234" s="6">
        <f>SUMIF(B234:B479,2019,F234:F479)</f>
        <v>176</v>
      </c>
      <c r="W234" s="6">
        <f>AVERAGEIF($B$2:$B$247,2019,$M$2:$M$247)</f>
        <v>2.9876404494382021</v>
      </c>
    </row>
    <row r="235" spans="1:25" x14ac:dyDescent="0.25">
      <c r="A235" t="s">
        <v>43</v>
      </c>
      <c r="B235">
        <v>2020</v>
      </c>
      <c r="C235" s="4">
        <f t="shared" si="24"/>
        <v>43862</v>
      </c>
      <c r="D235">
        <v>2</v>
      </c>
      <c r="E235">
        <v>87</v>
      </c>
      <c r="F235">
        <v>16</v>
      </c>
      <c r="G235" s="1">
        <f t="shared" si="25"/>
        <v>71</v>
      </c>
      <c r="H235">
        <v>146</v>
      </c>
      <c r="I235" s="2">
        <v>0.31509999999999999</v>
      </c>
      <c r="J235" s="1">
        <v>1013</v>
      </c>
      <c r="K235" s="3">
        <v>3.4375E-3</v>
      </c>
      <c r="L235" s="3">
        <f t="shared" si="26"/>
        <v>6.9383561643835616</v>
      </c>
      <c r="M235" s="5">
        <v>8.9</v>
      </c>
      <c r="N235">
        <v>13</v>
      </c>
      <c r="O235" s="7">
        <v>2590</v>
      </c>
      <c r="P235">
        <v>21</v>
      </c>
      <c r="Q235" s="10">
        <f t="shared" si="27"/>
        <v>81.609195402298852</v>
      </c>
      <c r="R235" s="6">
        <f t="shared" si="28"/>
        <v>29.770114942528735</v>
      </c>
      <c r="S235" s="6">
        <f t="shared" si="29"/>
        <v>17.739726027397261</v>
      </c>
      <c r="T235" s="6">
        <f t="shared" si="30"/>
        <v>199.23076923076923</v>
      </c>
      <c r="U235" s="10">
        <f t="shared" si="31"/>
        <v>0.11235955056179775</v>
      </c>
      <c r="V235" s="6"/>
      <c r="W235" s="6"/>
      <c r="Y235">
        <f>SUMIF(B2:B247,2019,F2:F247)</f>
        <v>780420</v>
      </c>
    </row>
    <row r="236" spans="1:25" x14ac:dyDescent="0.25">
      <c r="A236" t="s">
        <v>44</v>
      </c>
      <c r="B236">
        <v>2020</v>
      </c>
      <c r="C236" s="4">
        <f t="shared" si="24"/>
        <v>43952</v>
      </c>
      <c r="D236">
        <v>5</v>
      </c>
      <c r="E236">
        <v>120</v>
      </c>
      <c r="F236">
        <v>106</v>
      </c>
      <c r="G236" s="1">
        <f t="shared" si="25"/>
        <v>14</v>
      </c>
      <c r="H236">
        <v>140</v>
      </c>
      <c r="I236" s="2">
        <v>0.36430000000000001</v>
      </c>
      <c r="J236">
        <v>696</v>
      </c>
      <c r="K236" s="3">
        <v>2.7083333333333334E-3</v>
      </c>
      <c r="L236" s="3">
        <f t="shared" si="26"/>
        <v>4.9714285714285715</v>
      </c>
      <c r="M236" s="5">
        <v>0.71</v>
      </c>
      <c r="N236">
        <v>1</v>
      </c>
      <c r="O236" s="7">
        <v>47</v>
      </c>
      <c r="P236">
        <v>1</v>
      </c>
      <c r="Q236" s="10">
        <f t="shared" si="27"/>
        <v>11.666666666666666</v>
      </c>
      <c r="R236" s="6">
        <f t="shared" si="28"/>
        <v>0.39166666666666666</v>
      </c>
      <c r="S236" s="6">
        <f t="shared" si="29"/>
        <v>0.33571428571428569</v>
      </c>
      <c r="T236" s="6">
        <f t="shared" si="30"/>
        <v>47</v>
      </c>
      <c r="U236" s="10">
        <f t="shared" si="31"/>
        <v>1.4084507042253522</v>
      </c>
      <c r="V236" s="6"/>
      <c r="W236" s="6"/>
    </row>
    <row r="237" spans="1:25" hidden="1" x14ac:dyDescent="0.25">
      <c r="A237" t="s">
        <v>44</v>
      </c>
      <c r="B237">
        <v>2020</v>
      </c>
      <c r="C237" s="4">
        <f t="shared" si="24"/>
        <v>43983</v>
      </c>
      <c r="D237">
        <v>6</v>
      </c>
      <c r="E237">
        <v>119</v>
      </c>
      <c r="F237">
        <v>104</v>
      </c>
      <c r="G237" s="1">
        <f t="shared" si="25"/>
        <v>15</v>
      </c>
      <c r="H237">
        <v>139</v>
      </c>
      <c r="I237" s="2">
        <v>0.42449999999999999</v>
      </c>
      <c r="J237">
        <v>613</v>
      </c>
      <c r="K237" s="3">
        <v>2.1643518518518518E-3</v>
      </c>
      <c r="L237" s="3">
        <f t="shared" si="26"/>
        <v>4.4100719424460433</v>
      </c>
      <c r="M237" s="5">
        <v>0</v>
      </c>
      <c r="N237">
        <v>0</v>
      </c>
      <c r="O237" s="7">
        <v>0</v>
      </c>
      <c r="P237">
        <v>0</v>
      </c>
      <c r="Q237" s="10">
        <f t="shared" si="27"/>
        <v>12.605042016806722</v>
      </c>
      <c r="R237" s="6">
        <f t="shared" si="28"/>
        <v>0</v>
      </c>
      <c r="S237" s="6">
        <f t="shared" si="29"/>
        <v>0</v>
      </c>
      <c r="T237" s="6" t="e">
        <f t="shared" si="30"/>
        <v>#DIV/0!</v>
      </c>
      <c r="U237" s="10" t="e">
        <f t="shared" si="31"/>
        <v>#DIV/0!</v>
      </c>
      <c r="V237" s="6">
        <f>SUMIF(B237:B482,2019,F237:F482)</f>
        <v>176</v>
      </c>
      <c r="W237" s="6">
        <f>AVERAGEIF($B$2:$B$247,2019,$M$2:$M$247)</f>
        <v>2.9876404494382021</v>
      </c>
    </row>
    <row r="238" spans="1:25" hidden="1" x14ac:dyDescent="0.25">
      <c r="A238" t="s">
        <v>23</v>
      </c>
      <c r="B238">
        <v>2020</v>
      </c>
      <c r="C238" s="4">
        <f t="shared" si="24"/>
        <v>43922</v>
      </c>
      <c r="D238">
        <v>4</v>
      </c>
      <c r="E238">
        <v>123</v>
      </c>
      <c r="F238">
        <v>76</v>
      </c>
      <c r="G238" s="1">
        <f t="shared" si="25"/>
        <v>47</v>
      </c>
      <c r="H238">
        <v>137</v>
      </c>
      <c r="I238" s="2">
        <v>0.4234</v>
      </c>
      <c r="J238">
        <v>484</v>
      </c>
      <c r="K238" s="3">
        <v>1.3425925925925925E-3</v>
      </c>
      <c r="L238" s="3">
        <f t="shared" si="26"/>
        <v>3.5328467153284673</v>
      </c>
      <c r="M238" s="5">
        <v>0</v>
      </c>
      <c r="N238">
        <v>0</v>
      </c>
      <c r="O238" s="7">
        <v>0</v>
      </c>
      <c r="P238">
        <v>0</v>
      </c>
      <c r="Q238" s="10">
        <f t="shared" si="27"/>
        <v>38.211382113821138</v>
      </c>
      <c r="R238" s="6">
        <f t="shared" si="28"/>
        <v>0</v>
      </c>
      <c r="S238" s="6">
        <f t="shared" si="29"/>
        <v>0</v>
      </c>
      <c r="T238" s="6" t="e">
        <f t="shared" si="30"/>
        <v>#DIV/0!</v>
      </c>
      <c r="U238" s="10" t="e">
        <f t="shared" si="31"/>
        <v>#DIV/0!</v>
      </c>
      <c r="V238" s="6">
        <f>SUMIF(B238:B483,2019,F238:F483)</f>
        <v>176</v>
      </c>
      <c r="W238" s="6">
        <f>AVERAGEIF($B$2:$B$247,2019,$M$2:$M$247)</f>
        <v>2.9876404494382021</v>
      </c>
    </row>
    <row r="239" spans="1:25" x14ac:dyDescent="0.25">
      <c r="A239" t="s">
        <v>32</v>
      </c>
      <c r="B239">
        <v>2019</v>
      </c>
      <c r="C239" s="4">
        <f t="shared" si="24"/>
        <v>43709</v>
      </c>
      <c r="D239">
        <v>9</v>
      </c>
      <c r="E239">
        <v>90</v>
      </c>
      <c r="F239">
        <v>83</v>
      </c>
      <c r="G239" s="1">
        <f t="shared" si="25"/>
        <v>7</v>
      </c>
      <c r="H239">
        <v>137</v>
      </c>
      <c r="I239" s="2">
        <v>0</v>
      </c>
      <c r="J239">
        <v>465</v>
      </c>
      <c r="K239" s="3">
        <v>2.5810185185185185E-3</v>
      </c>
      <c r="L239" s="3">
        <f t="shared" si="26"/>
        <v>3.394160583941606</v>
      </c>
      <c r="M239" s="5">
        <v>18.98</v>
      </c>
      <c r="N239">
        <v>26</v>
      </c>
      <c r="O239" s="7">
        <v>5908</v>
      </c>
      <c r="P239">
        <v>42</v>
      </c>
      <c r="Q239" s="10">
        <f t="shared" si="27"/>
        <v>7.7777777777777777</v>
      </c>
      <c r="R239" s="6">
        <f t="shared" si="28"/>
        <v>65.644444444444446</v>
      </c>
      <c r="S239" s="6">
        <f t="shared" si="29"/>
        <v>43.124087591240873</v>
      </c>
      <c r="T239" s="6">
        <f t="shared" si="30"/>
        <v>227.23076923076923</v>
      </c>
      <c r="U239" s="10">
        <f t="shared" si="31"/>
        <v>5.2687038988408853E-2</v>
      </c>
      <c r="V239" s="6"/>
      <c r="W239" s="6"/>
    </row>
    <row r="240" spans="1:25" hidden="1" x14ac:dyDescent="0.25">
      <c r="A240" t="s">
        <v>49</v>
      </c>
      <c r="B240">
        <v>2020</v>
      </c>
      <c r="C240" s="4">
        <f t="shared" si="24"/>
        <v>43952</v>
      </c>
      <c r="D240">
        <v>5</v>
      </c>
      <c r="E240">
        <v>119</v>
      </c>
      <c r="F240">
        <v>112</v>
      </c>
      <c r="G240" s="1">
        <f t="shared" si="25"/>
        <v>7</v>
      </c>
      <c r="H240">
        <v>135</v>
      </c>
      <c r="I240" s="2">
        <v>0.26669999999999999</v>
      </c>
      <c r="J240">
        <v>546</v>
      </c>
      <c r="K240" s="3">
        <v>2.5462962962962965E-3</v>
      </c>
      <c r="L240" s="3">
        <f t="shared" si="26"/>
        <v>4.0444444444444443</v>
      </c>
      <c r="M240" s="5">
        <v>0</v>
      </c>
      <c r="N240">
        <v>0</v>
      </c>
      <c r="O240" s="7">
        <v>0</v>
      </c>
      <c r="P240">
        <v>0</v>
      </c>
      <c r="Q240" s="10">
        <f t="shared" si="27"/>
        <v>5.8823529411764701</v>
      </c>
      <c r="R240" s="6">
        <f t="shared" si="28"/>
        <v>0</v>
      </c>
      <c r="S240" s="6">
        <f t="shared" si="29"/>
        <v>0</v>
      </c>
      <c r="T240" s="6" t="e">
        <f t="shared" si="30"/>
        <v>#DIV/0!</v>
      </c>
      <c r="U240" s="10" t="e">
        <f t="shared" si="31"/>
        <v>#DIV/0!</v>
      </c>
      <c r="V240" s="6">
        <f>SUMIF(B240:B485,2019,F240:F485)</f>
        <v>93</v>
      </c>
      <c r="W240" s="6">
        <f>AVERAGEIF($B$2:$B$247,2019,$M$2:$M$247)</f>
        <v>2.9876404494382021</v>
      </c>
    </row>
    <row r="241" spans="1:23" x14ac:dyDescent="0.25">
      <c r="A241" t="s">
        <v>48</v>
      </c>
      <c r="B241">
        <v>2020</v>
      </c>
      <c r="C241" s="4">
        <f t="shared" si="24"/>
        <v>43831</v>
      </c>
      <c r="D241">
        <v>1</v>
      </c>
      <c r="E241">
        <v>94</v>
      </c>
      <c r="F241">
        <v>71</v>
      </c>
      <c r="G241" s="1">
        <f t="shared" si="25"/>
        <v>23</v>
      </c>
      <c r="H241">
        <v>135</v>
      </c>
      <c r="I241" s="2">
        <v>0.28889999999999999</v>
      </c>
      <c r="J241" s="1">
        <v>1226</v>
      </c>
      <c r="K241" s="3">
        <v>4.7337962962962967E-3</v>
      </c>
      <c r="L241" s="3">
        <f t="shared" si="26"/>
        <v>9.0814814814814806</v>
      </c>
      <c r="M241" s="5">
        <v>2.96</v>
      </c>
      <c r="N241">
        <v>4</v>
      </c>
      <c r="O241" s="7">
        <v>2111</v>
      </c>
      <c r="P241">
        <v>5</v>
      </c>
      <c r="Q241" s="10">
        <f t="shared" si="27"/>
        <v>24.468085106382979</v>
      </c>
      <c r="R241" s="6">
        <f t="shared" si="28"/>
        <v>22.457446808510639</v>
      </c>
      <c r="S241" s="6">
        <f t="shared" si="29"/>
        <v>15.637037037037038</v>
      </c>
      <c r="T241" s="6">
        <f t="shared" si="30"/>
        <v>527.75</v>
      </c>
      <c r="U241" s="10">
        <f t="shared" si="31"/>
        <v>0.33783783783783783</v>
      </c>
      <c r="V241" s="6"/>
      <c r="W241" s="6"/>
    </row>
    <row r="242" spans="1:23" x14ac:dyDescent="0.25">
      <c r="A242" t="s">
        <v>43</v>
      </c>
      <c r="B242">
        <v>2019</v>
      </c>
      <c r="C242" s="4">
        <f t="shared" si="24"/>
        <v>43709</v>
      </c>
      <c r="D242">
        <v>9</v>
      </c>
      <c r="E242">
        <v>77</v>
      </c>
      <c r="F242">
        <v>3</v>
      </c>
      <c r="G242" s="1">
        <f t="shared" si="25"/>
        <v>74</v>
      </c>
      <c r="H242">
        <v>133</v>
      </c>
      <c r="I242" s="2">
        <v>0.30830000000000002</v>
      </c>
      <c r="J242">
        <v>970</v>
      </c>
      <c r="K242" s="3">
        <v>3.8773148148148148E-3</v>
      </c>
      <c r="L242" s="3">
        <f t="shared" si="26"/>
        <v>7.2932330827067666</v>
      </c>
      <c r="M242" s="5">
        <v>6.02</v>
      </c>
      <c r="N242">
        <v>8</v>
      </c>
      <c r="O242" s="7">
        <v>1506</v>
      </c>
      <c r="P242">
        <v>14</v>
      </c>
      <c r="Q242" s="10">
        <f t="shared" si="27"/>
        <v>96.103896103896105</v>
      </c>
      <c r="R242" s="6">
        <f t="shared" si="28"/>
        <v>19.558441558441558</v>
      </c>
      <c r="S242" s="6">
        <f t="shared" si="29"/>
        <v>11.323308270676693</v>
      </c>
      <c r="T242" s="6">
        <f t="shared" si="30"/>
        <v>188.25</v>
      </c>
      <c r="U242" s="10">
        <f t="shared" si="31"/>
        <v>0.16611295681063123</v>
      </c>
      <c r="V242" s="6"/>
      <c r="W242" s="6"/>
    </row>
    <row r="243" spans="1:23" x14ac:dyDescent="0.25">
      <c r="A243" t="s">
        <v>48</v>
      </c>
      <c r="B243">
        <v>2020</v>
      </c>
      <c r="C243" s="4">
        <f t="shared" si="24"/>
        <v>43952</v>
      </c>
      <c r="D243">
        <v>5</v>
      </c>
      <c r="E243">
        <v>109</v>
      </c>
      <c r="F243">
        <v>91</v>
      </c>
      <c r="G243" s="1">
        <f t="shared" si="25"/>
        <v>18</v>
      </c>
      <c r="H243">
        <v>132</v>
      </c>
      <c r="I243" s="2">
        <v>0.33329999999999999</v>
      </c>
      <c r="J243">
        <v>840</v>
      </c>
      <c r="K243" s="3">
        <v>3.2291666666666666E-3</v>
      </c>
      <c r="L243" s="3">
        <f t="shared" si="26"/>
        <v>6.3636363636363633</v>
      </c>
      <c r="M243" s="5">
        <v>0.76</v>
      </c>
      <c r="N243">
        <v>1</v>
      </c>
      <c r="O243" s="7">
        <v>130</v>
      </c>
      <c r="P243">
        <v>1</v>
      </c>
      <c r="Q243" s="10">
        <f t="shared" si="27"/>
        <v>16.513761467889911</v>
      </c>
      <c r="R243" s="6">
        <f t="shared" si="28"/>
        <v>1.1926605504587156</v>
      </c>
      <c r="S243" s="6">
        <f t="shared" si="29"/>
        <v>0.98484848484848486</v>
      </c>
      <c r="T243" s="6">
        <f t="shared" si="30"/>
        <v>130</v>
      </c>
      <c r="U243" s="10">
        <f t="shared" si="31"/>
        <v>1.3157894736842106</v>
      </c>
      <c r="V243" s="6"/>
      <c r="W243" s="6"/>
    </row>
    <row r="244" spans="1:23" hidden="1" x14ac:dyDescent="0.25">
      <c r="A244" t="s">
        <v>38</v>
      </c>
      <c r="B244">
        <v>2020</v>
      </c>
      <c r="C244" s="4">
        <f t="shared" si="24"/>
        <v>43952</v>
      </c>
      <c r="D244">
        <v>5</v>
      </c>
      <c r="E244">
        <v>111</v>
      </c>
      <c r="F244">
        <v>97</v>
      </c>
      <c r="G244" s="1">
        <f t="shared" si="25"/>
        <v>14</v>
      </c>
      <c r="H244">
        <v>131</v>
      </c>
      <c r="I244" s="2">
        <v>0.61070000000000002</v>
      </c>
      <c r="J244">
        <v>324</v>
      </c>
      <c r="K244" s="3">
        <v>9.9537037037037042E-4</v>
      </c>
      <c r="L244" s="3">
        <f t="shared" si="26"/>
        <v>2.4732824427480917</v>
      </c>
      <c r="M244" s="5">
        <v>0</v>
      </c>
      <c r="N244">
        <v>0</v>
      </c>
      <c r="O244" s="7">
        <v>0</v>
      </c>
      <c r="P244">
        <v>0</v>
      </c>
      <c r="Q244" s="10">
        <f t="shared" si="27"/>
        <v>12.612612612612612</v>
      </c>
      <c r="R244" s="6">
        <f t="shared" si="28"/>
        <v>0</v>
      </c>
      <c r="S244" s="6">
        <f t="shared" si="29"/>
        <v>0</v>
      </c>
      <c r="T244" s="6" t="e">
        <f t="shared" si="30"/>
        <v>#DIV/0!</v>
      </c>
      <c r="U244" s="10" t="e">
        <f t="shared" si="31"/>
        <v>#DIV/0!</v>
      </c>
      <c r="V244" s="6">
        <f>SUMIF(B244:B489,2019,F244:F489)</f>
        <v>90</v>
      </c>
      <c r="W244" s="6">
        <f>AVERAGEIF($B$2:$B$247,2019,$M$2:$M$247)</f>
        <v>2.9876404494382021</v>
      </c>
    </row>
    <row r="245" spans="1:23" hidden="1" x14ac:dyDescent="0.25">
      <c r="A245" t="s">
        <v>23</v>
      </c>
      <c r="B245">
        <v>2020</v>
      </c>
      <c r="C245" s="4">
        <f t="shared" si="24"/>
        <v>43862</v>
      </c>
      <c r="D245">
        <v>2</v>
      </c>
      <c r="E245">
        <v>112</v>
      </c>
      <c r="F245">
        <v>81</v>
      </c>
      <c r="G245" s="1">
        <f t="shared" si="25"/>
        <v>31</v>
      </c>
      <c r="H245">
        <v>130</v>
      </c>
      <c r="I245" s="2">
        <v>0.68459999999999999</v>
      </c>
      <c r="J245">
        <v>297</v>
      </c>
      <c r="K245" s="3">
        <v>9.2592592592592596E-4</v>
      </c>
      <c r="L245" s="3">
        <f t="shared" si="26"/>
        <v>2.2846153846153845</v>
      </c>
      <c r="M245" s="5">
        <v>0</v>
      </c>
      <c r="N245">
        <v>0</v>
      </c>
      <c r="O245" s="7">
        <v>0</v>
      </c>
      <c r="P245">
        <v>0</v>
      </c>
      <c r="Q245" s="10">
        <f t="shared" si="27"/>
        <v>27.678571428571431</v>
      </c>
      <c r="R245" s="6">
        <f t="shared" si="28"/>
        <v>0</v>
      </c>
      <c r="S245" s="6">
        <f t="shared" si="29"/>
        <v>0</v>
      </c>
      <c r="T245" s="6" t="e">
        <f t="shared" si="30"/>
        <v>#DIV/0!</v>
      </c>
      <c r="U245" s="10" t="e">
        <f t="shared" si="31"/>
        <v>#DIV/0!</v>
      </c>
      <c r="V245" s="6">
        <f>SUMIF(B245:B490,2019,F245:F490)</f>
        <v>90</v>
      </c>
      <c r="W245" s="6">
        <f>AVERAGEIF($B$2:$B$247,2019,$M$2:$M$247)</f>
        <v>2.9876404494382021</v>
      </c>
    </row>
    <row r="246" spans="1:23" x14ac:dyDescent="0.25">
      <c r="A246" t="s">
        <v>48</v>
      </c>
      <c r="B246">
        <v>2019</v>
      </c>
      <c r="C246" s="4">
        <f t="shared" si="24"/>
        <v>43800</v>
      </c>
      <c r="D246">
        <v>12</v>
      </c>
      <c r="E246">
        <v>117</v>
      </c>
      <c r="F246">
        <v>90</v>
      </c>
      <c r="G246" s="1">
        <f t="shared" si="25"/>
        <v>27</v>
      </c>
      <c r="H246">
        <v>129</v>
      </c>
      <c r="I246" s="2">
        <v>0.29459999999999997</v>
      </c>
      <c r="J246" s="1">
        <v>1000</v>
      </c>
      <c r="K246" s="3">
        <v>3.8888888888888888E-3</v>
      </c>
      <c r="L246" s="3">
        <f t="shared" si="26"/>
        <v>7.7519379844961236</v>
      </c>
      <c r="M246" s="5">
        <v>0.78</v>
      </c>
      <c r="N246">
        <v>1</v>
      </c>
      <c r="O246" s="7">
        <v>81</v>
      </c>
      <c r="P246">
        <v>1</v>
      </c>
      <c r="Q246" s="10">
        <f t="shared" si="27"/>
        <v>23.076923076923077</v>
      </c>
      <c r="R246" s="6">
        <f t="shared" si="28"/>
        <v>0.69230769230769229</v>
      </c>
      <c r="S246" s="6">
        <f t="shared" si="29"/>
        <v>0.62790697674418605</v>
      </c>
      <c r="T246" s="6">
        <f t="shared" si="30"/>
        <v>81</v>
      </c>
      <c r="U246" s="10">
        <f t="shared" si="31"/>
        <v>1.2820512820512819</v>
      </c>
      <c r="V246" s="6"/>
      <c r="W246" s="6"/>
    </row>
    <row r="247" spans="1:23" x14ac:dyDescent="0.25">
      <c r="A247" t="s">
        <v>23</v>
      </c>
      <c r="B247">
        <v>2020</v>
      </c>
      <c r="C247" s="4">
        <f t="shared" si="24"/>
        <v>43891</v>
      </c>
      <c r="D247">
        <v>3</v>
      </c>
      <c r="E247">
        <v>111</v>
      </c>
      <c r="F247">
        <v>70</v>
      </c>
      <c r="G247" s="1">
        <f t="shared" si="25"/>
        <v>41</v>
      </c>
      <c r="H247">
        <v>127</v>
      </c>
      <c r="I247" s="2">
        <v>0.622</v>
      </c>
      <c r="J247">
        <v>397</v>
      </c>
      <c r="K247" s="3">
        <v>1.0069444444444444E-3</v>
      </c>
      <c r="L247" s="3">
        <f t="shared" si="26"/>
        <v>3.1259842519685042</v>
      </c>
      <c r="M247" s="5">
        <v>0.79</v>
      </c>
      <c r="N247">
        <v>1</v>
      </c>
      <c r="O247" s="7">
        <v>77</v>
      </c>
      <c r="P247">
        <v>1</v>
      </c>
      <c r="Q247" s="10">
        <f t="shared" si="27"/>
        <v>36.936936936936938</v>
      </c>
      <c r="R247" s="6">
        <f t="shared" si="28"/>
        <v>0.69369369369369371</v>
      </c>
      <c r="S247" s="6">
        <f t="shared" si="29"/>
        <v>0.60629921259842523</v>
      </c>
      <c r="T247" s="6">
        <f t="shared" si="30"/>
        <v>77</v>
      </c>
      <c r="U247" s="10">
        <f t="shared" si="31"/>
        <v>1.2658227848101264</v>
      </c>
      <c r="V247" s="6"/>
      <c r="W247" s="6"/>
    </row>
    <row r="248" spans="1:23" hidden="1" x14ac:dyDescent="0.25">
      <c r="A248" t="s">
        <v>50</v>
      </c>
      <c r="B248">
        <v>2020</v>
      </c>
      <c r="C248" s="4">
        <f t="shared" si="24"/>
        <v>43952</v>
      </c>
      <c r="D248">
        <v>5</v>
      </c>
      <c r="E248">
        <v>99</v>
      </c>
      <c r="F248">
        <v>1</v>
      </c>
      <c r="G248" s="1">
        <f t="shared" si="25"/>
        <v>98</v>
      </c>
      <c r="H248">
        <v>125</v>
      </c>
      <c r="I248" s="2">
        <v>0.60799999999999998</v>
      </c>
      <c r="J248">
        <v>396</v>
      </c>
      <c r="K248" s="3">
        <v>1.2037037037037038E-3</v>
      </c>
      <c r="L248" s="3">
        <f t="shared" si="26"/>
        <v>3.1680000000000001</v>
      </c>
      <c r="M248" s="5">
        <v>0</v>
      </c>
      <c r="N248">
        <v>0</v>
      </c>
      <c r="O248" s="7">
        <v>0</v>
      </c>
      <c r="P248">
        <v>0</v>
      </c>
      <c r="Q248" s="10">
        <f t="shared" si="27"/>
        <v>98.98989898989899</v>
      </c>
      <c r="R248" s="6">
        <f t="shared" si="28"/>
        <v>0</v>
      </c>
      <c r="S248" s="6">
        <f t="shared" si="29"/>
        <v>0</v>
      </c>
      <c r="T248" s="6" t="e">
        <f t="shared" si="30"/>
        <v>#DIV/0!</v>
      </c>
      <c r="U248" s="10" t="e">
        <f t="shared" si="31"/>
        <v>#DIV/0!</v>
      </c>
      <c r="V248" s="6">
        <f>SUMIF(B248:B493,2019,F248:F493)</f>
        <v>0</v>
      </c>
      <c r="W248" s="6">
        <f>AVERAGEIF($B$2:$B$247,2019,$M$2:$M$247)</f>
        <v>2.9876404494382021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7391A-9CB8-4CA0-89D2-DBCC7E0EFFA3}">
  <dimension ref="A1:AA108"/>
  <sheetViews>
    <sheetView topLeftCell="J82" zoomScaleNormal="100" workbookViewId="0">
      <selection activeCell="M113" sqref="M113"/>
    </sheetView>
  </sheetViews>
  <sheetFormatPr defaultRowHeight="15" x14ac:dyDescent="0.25"/>
  <cols>
    <col min="1" max="1" width="7.28515625" bestFit="1" customWidth="1"/>
    <col min="2" max="2" width="12.5703125" bestFit="1" customWidth="1"/>
    <col min="4" max="4" width="11.28515625" bestFit="1" customWidth="1"/>
    <col min="5" max="5" width="9.28515625" bestFit="1" customWidth="1"/>
    <col min="6" max="6" width="12.5703125" bestFit="1" customWidth="1"/>
    <col min="7" max="7" width="18.85546875" bestFit="1" customWidth="1"/>
    <col min="8" max="8" width="17.28515625" bestFit="1" customWidth="1"/>
    <col min="9" max="9" width="9.28515625" bestFit="1" customWidth="1"/>
    <col min="10" max="10" width="28" bestFit="1" customWidth="1"/>
    <col min="11" max="11" width="12.5703125" bestFit="1" customWidth="1"/>
    <col min="12" max="12" width="15.5703125" bestFit="1" customWidth="1"/>
    <col min="13" max="13" width="9.28515625" bestFit="1" customWidth="1"/>
    <col min="14" max="14" width="20.7109375" bestFit="1" customWidth="1"/>
    <col min="15" max="15" width="34.5703125" bestFit="1" customWidth="1"/>
    <col min="16" max="16" width="9.28515625" bestFit="1" customWidth="1"/>
    <col min="17" max="17" width="15.5703125" bestFit="1" customWidth="1"/>
    <col min="18" max="18" width="17.28515625" bestFit="1" customWidth="1"/>
    <col min="19" max="19" width="29.42578125" bestFit="1" customWidth="1"/>
    <col min="20" max="20" width="30.140625" bestFit="1" customWidth="1"/>
    <col min="21" max="21" width="17.28515625" bestFit="1" customWidth="1"/>
    <col min="22" max="22" width="33.85546875" bestFit="1" customWidth="1"/>
    <col min="23" max="23" width="20.5703125" bestFit="1" customWidth="1"/>
    <col min="24" max="24" width="28.5703125" bestFit="1" customWidth="1"/>
    <col min="25" max="25" width="28.85546875" bestFit="1" customWidth="1"/>
  </cols>
  <sheetData>
    <row r="1" spans="1:27" x14ac:dyDescent="0.25">
      <c r="G1" t="s">
        <v>62</v>
      </c>
      <c r="M1">
        <v>1049791</v>
      </c>
      <c r="N1">
        <v>4659</v>
      </c>
      <c r="O1">
        <v>970399</v>
      </c>
    </row>
    <row r="2" spans="1:27" x14ac:dyDescent="0.25">
      <c r="M2">
        <v>1669520</v>
      </c>
      <c r="N2">
        <v>16602</v>
      </c>
      <c r="O2">
        <v>2722505</v>
      </c>
    </row>
    <row r="3" spans="1:27" x14ac:dyDescent="0.25">
      <c r="A3" s="13" t="s">
        <v>1</v>
      </c>
      <c r="B3" t="s">
        <v>59</v>
      </c>
      <c r="D3" s="13" t="s">
        <v>1</v>
      </c>
      <c r="E3" t="s">
        <v>59</v>
      </c>
      <c r="M3">
        <v>2719311</v>
      </c>
      <c r="N3">
        <v>21261</v>
      </c>
      <c r="O3">
        <v>3692904</v>
      </c>
    </row>
    <row r="4" spans="1:27" x14ac:dyDescent="0.25">
      <c r="A4" s="14">
        <v>2019</v>
      </c>
      <c r="B4" s="30">
        <v>1049791</v>
      </c>
      <c r="D4" s="14" t="s">
        <v>74</v>
      </c>
      <c r="E4" s="20">
        <v>225887</v>
      </c>
    </row>
    <row r="5" spans="1:27" x14ac:dyDescent="0.25">
      <c r="A5" s="14">
        <v>2020</v>
      </c>
      <c r="B5" s="30">
        <v>1669520</v>
      </c>
      <c r="D5" s="14" t="s">
        <v>75</v>
      </c>
      <c r="E5" s="20">
        <v>208961</v>
      </c>
      <c r="G5" s="13" t="s">
        <v>83</v>
      </c>
      <c r="H5" t="s">
        <v>97</v>
      </c>
    </row>
    <row r="6" spans="1:27" x14ac:dyDescent="0.25">
      <c r="D6" s="14" t="s">
        <v>76</v>
      </c>
      <c r="E6" s="20">
        <v>179824</v>
      </c>
      <c r="G6" s="14" t="s">
        <v>13</v>
      </c>
      <c r="H6" s="12">
        <v>4246914</v>
      </c>
    </row>
    <row r="7" spans="1:27" x14ac:dyDescent="0.25">
      <c r="D7" s="14" t="s">
        <v>78</v>
      </c>
      <c r="E7" s="20">
        <v>193983</v>
      </c>
      <c r="G7" s="14" t="s">
        <v>14</v>
      </c>
      <c r="H7" s="12">
        <v>2640848</v>
      </c>
    </row>
    <row r="8" spans="1:27" x14ac:dyDescent="0.25">
      <c r="D8" s="14" t="s">
        <v>79</v>
      </c>
      <c r="E8" s="20">
        <v>314610</v>
      </c>
      <c r="G8" s="14" t="s">
        <v>15</v>
      </c>
      <c r="H8" s="12">
        <v>1138068</v>
      </c>
      <c r="J8" s="13" t="s">
        <v>1</v>
      </c>
      <c r="K8" t="s">
        <v>59</v>
      </c>
      <c r="L8" t="s">
        <v>84</v>
      </c>
    </row>
    <row r="9" spans="1:27" x14ac:dyDescent="0.25">
      <c r="D9" s="14" t="s">
        <v>80</v>
      </c>
      <c r="E9" s="20">
        <v>228555</v>
      </c>
      <c r="G9" s="14" t="s">
        <v>16</v>
      </c>
      <c r="H9" s="12">
        <v>5161</v>
      </c>
      <c r="J9" s="14">
        <v>2019</v>
      </c>
      <c r="K9" s="12">
        <v>1049791</v>
      </c>
      <c r="L9" s="12">
        <v>4659</v>
      </c>
      <c r="V9" t="s">
        <v>96</v>
      </c>
      <c r="W9" t="str">
        <f t="shared" ref="W9:W21" si="0">T10</f>
        <v>Average of Revenue Per Session</v>
      </c>
      <c r="Z9">
        <f>U10</f>
        <v>0</v>
      </c>
      <c r="AA9" t="str">
        <f>V10</f>
        <v>Jan</v>
      </c>
    </row>
    <row r="10" spans="1:27" x14ac:dyDescent="0.25">
      <c r="D10" s="14" t="s">
        <v>81</v>
      </c>
      <c r="E10" s="20">
        <v>198341</v>
      </c>
      <c r="G10" s="14" t="s">
        <v>17</v>
      </c>
      <c r="H10" s="12">
        <v>901834</v>
      </c>
      <c r="J10" s="14">
        <v>2020</v>
      </c>
      <c r="K10" s="12">
        <v>1669520</v>
      </c>
      <c r="L10" s="12">
        <v>16602</v>
      </c>
      <c r="N10" s="13" t="s">
        <v>1</v>
      </c>
      <c r="O10" t="s">
        <v>61</v>
      </c>
      <c r="Q10" s="13" t="s">
        <v>83</v>
      </c>
      <c r="R10" t="s">
        <v>88</v>
      </c>
      <c r="S10" t="s">
        <v>64</v>
      </c>
      <c r="T10" t="s">
        <v>89</v>
      </c>
      <c r="V10" t="str">
        <f t="shared" ref="V10:V21" si="1">Q11</f>
        <v>Jan</v>
      </c>
      <c r="W10" s="6">
        <f t="shared" si="0"/>
        <v>8.1062084878683773</v>
      </c>
    </row>
    <row r="11" spans="1:27" x14ac:dyDescent="0.25">
      <c r="D11" s="14" t="s">
        <v>82</v>
      </c>
      <c r="E11" s="20">
        <v>119359</v>
      </c>
      <c r="G11" s="14" t="s">
        <v>18</v>
      </c>
      <c r="H11" s="12">
        <v>504529</v>
      </c>
      <c r="J11" s="14" t="s">
        <v>60</v>
      </c>
      <c r="K11" s="12">
        <v>2719311</v>
      </c>
      <c r="L11" s="12">
        <v>21261</v>
      </c>
      <c r="N11" s="14">
        <v>2019</v>
      </c>
      <c r="O11" s="9"/>
      <c r="Q11" s="14" t="s">
        <v>74</v>
      </c>
      <c r="R11" s="15">
        <v>0.53810000000000002</v>
      </c>
      <c r="S11" s="15">
        <v>3.0704545454545453</v>
      </c>
      <c r="T11" s="6">
        <v>8.1062084878683773</v>
      </c>
      <c r="V11" t="str">
        <f t="shared" si="1"/>
        <v>Feb</v>
      </c>
      <c r="W11" s="6">
        <f t="shared" si="0"/>
        <v>6.9211404636109632</v>
      </c>
    </row>
    <row r="12" spans="1:27" x14ac:dyDescent="0.25">
      <c r="D12" s="14" t="s">
        <v>68</v>
      </c>
      <c r="E12" s="20">
        <v>217509</v>
      </c>
      <c r="G12" s="14" t="s">
        <v>19</v>
      </c>
      <c r="H12" s="12">
        <v>253387</v>
      </c>
      <c r="N12" s="16" t="s">
        <v>68</v>
      </c>
      <c r="O12" s="29">
        <v>155796</v>
      </c>
      <c r="Q12" s="14" t="s">
        <v>75</v>
      </c>
      <c r="R12" s="15">
        <v>0.51293499999999992</v>
      </c>
      <c r="S12" s="15">
        <v>3.4805000000000001</v>
      </c>
      <c r="T12" s="6">
        <v>6.9211404636109632</v>
      </c>
      <c r="V12" t="str">
        <f t="shared" si="1"/>
        <v>Mar</v>
      </c>
      <c r="W12" s="6">
        <f t="shared" si="0"/>
        <v>6.1898516150652307</v>
      </c>
    </row>
    <row r="13" spans="1:27" x14ac:dyDescent="0.25">
      <c r="D13" s="14" t="s">
        <v>70</v>
      </c>
      <c r="E13" s="20">
        <v>280312</v>
      </c>
      <c r="G13" s="14" t="s">
        <v>20</v>
      </c>
      <c r="H13" s="12">
        <v>236384</v>
      </c>
      <c r="N13" s="16" t="s">
        <v>70</v>
      </c>
      <c r="O13" s="29">
        <v>283905</v>
      </c>
      <c r="Q13" s="14" t="s">
        <v>76</v>
      </c>
      <c r="R13" s="15">
        <v>0.53354444444444438</v>
      </c>
      <c r="S13" s="15">
        <v>3.5933333333333337</v>
      </c>
      <c r="T13" s="6">
        <v>6.1898516150652307</v>
      </c>
      <c r="V13" t="str">
        <f t="shared" si="1"/>
        <v>Apr</v>
      </c>
      <c r="W13" s="6">
        <f t="shared" si="0"/>
        <v>6.4131778926464431</v>
      </c>
    </row>
    <row r="14" spans="1:27" x14ac:dyDescent="0.25">
      <c r="D14" s="14" t="s">
        <v>71</v>
      </c>
      <c r="E14" s="20">
        <v>288385</v>
      </c>
      <c r="G14" s="14" t="s">
        <v>21</v>
      </c>
      <c r="H14" s="12">
        <v>275471</v>
      </c>
      <c r="J14" s="13" t="s">
        <v>1</v>
      </c>
      <c r="K14" t="s">
        <v>59</v>
      </c>
      <c r="L14" t="s">
        <v>61</v>
      </c>
      <c r="N14" s="16" t="s">
        <v>71</v>
      </c>
      <c r="O14" s="29">
        <v>270010</v>
      </c>
      <c r="Q14" s="14" t="s">
        <v>78</v>
      </c>
      <c r="R14" s="15">
        <v>0.54559523809523802</v>
      </c>
      <c r="S14" s="15">
        <v>3.7185714285714289</v>
      </c>
      <c r="T14" s="6">
        <v>6.4131778926464431</v>
      </c>
      <c r="V14" t="str">
        <f t="shared" si="1"/>
        <v>May</v>
      </c>
      <c r="W14" s="6">
        <f t="shared" si="0"/>
        <v>4.7547896306879878</v>
      </c>
    </row>
    <row r="15" spans="1:27" x14ac:dyDescent="0.25">
      <c r="D15" s="14" t="s">
        <v>72</v>
      </c>
      <c r="E15" s="20">
        <v>263585</v>
      </c>
      <c r="G15" s="14" t="s">
        <v>22</v>
      </c>
      <c r="H15" s="12">
        <v>29756</v>
      </c>
      <c r="J15" s="14">
        <v>2019</v>
      </c>
      <c r="K15" s="7">
        <v>1049791</v>
      </c>
      <c r="L15" s="7">
        <v>970399</v>
      </c>
      <c r="N15" s="16" t="s">
        <v>72</v>
      </c>
      <c r="O15" s="29">
        <v>260688</v>
      </c>
      <c r="Q15" s="14" t="s">
        <v>79</v>
      </c>
      <c r="R15" s="15">
        <v>0.48411428571428566</v>
      </c>
      <c r="S15" s="15">
        <v>2.6810714285714283</v>
      </c>
      <c r="T15" s="6">
        <v>4.7547896306879878</v>
      </c>
      <c r="V15" t="str">
        <f t="shared" si="1"/>
        <v>Jun</v>
      </c>
      <c r="W15" s="6">
        <f t="shared" si="0"/>
        <v>7.9524330128380223</v>
      </c>
    </row>
    <row r="16" spans="1:27" x14ac:dyDescent="0.25">
      <c r="G16" s="14" t="s">
        <v>23</v>
      </c>
      <c r="H16" s="12">
        <v>100691</v>
      </c>
      <c r="J16" s="14">
        <v>2020</v>
      </c>
      <c r="K16" s="7">
        <v>1669520</v>
      </c>
      <c r="L16" s="7">
        <v>2722505</v>
      </c>
      <c r="N16" s="14">
        <v>2020</v>
      </c>
      <c r="O16" s="9"/>
      <c r="Q16" s="14" t="s">
        <v>80</v>
      </c>
      <c r="R16" s="15">
        <v>0.5017117647058823</v>
      </c>
      <c r="S16" s="15">
        <v>4.2829411764705885</v>
      </c>
      <c r="T16" s="6">
        <v>7.9524330128380223</v>
      </c>
      <c r="V16" t="str">
        <f t="shared" si="1"/>
        <v>Jul</v>
      </c>
      <c r="W16" s="6">
        <f t="shared" si="0"/>
        <v>8.8414589877975018</v>
      </c>
    </row>
    <row r="17" spans="7:23" x14ac:dyDescent="0.25">
      <c r="G17" s="14" t="s">
        <v>24</v>
      </c>
      <c r="H17" s="12">
        <v>48695</v>
      </c>
      <c r="J17" s="14" t="s">
        <v>60</v>
      </c>
      <c r="K17" s="7">
        <v>2719311</v>
      </c>
      <c r="L17" s="7">
        <v>3692904</v>
      </c>
      <c r="N17" s="16" t="s">
        <v>74</v>
      </c>
      <c r="O17" s="29">
        <v>307336</v>
      </c>
      <c r="Q17" s="14" t="s">
        <v>81</v>
      </c>
      <c r="R17" s="15">
        <v>0.52184666666666668</v>
      </c>
      <c r="S17" s="15">
        <v>4.8833333333333337</v>
      </c>
      <c r="T17" s="6">
        <v>8.8414589877975018</v>
      </c>
      <c r="V17" t="str">
        <f t="shared" si="1"/>
        <v>Aug</v>
      </c>
      <c r="W17" s="6">
        <f t="shared" si="0"/>
        <v>1.5785185737356995</v>
      </c>
    </row>
    <row r="18" spans="7:23" x14ac:dyDescent="0.25">
      <c r="G18" s="14" t="s">
        <v>25</v>
      </c>
      <c r="H18" s="12">
        <v>84781</v>
      </c>
      <c r="N18" s="16" t="s">
        <v>75</v>
      </c>
      <c r="O18" s="29">
        <v>323540</v>
      </c>
      <c r="Q18" s="14" t="s">
        <v>82</v>
      </c>
      <c r="R18" s="15">
        <v>0.51984705882352944</v>
      </c>
      <c r="S18" s="15">
        <v>1.0311764705882354</v>
      </c>
      <c r="T18" s="6">
        <v>1.5785185737356995</v>
      </c>
      <c r="V18" t="str">
        <f t="shared" si="1"/>
        <v>Sep</v>
      </c>
      <c r="W18" s="6">
        <f t="shared" si="0"/>
        <v>5.6996406905238457</v>
      </c>
    </row>
    <row r="19" spans="7:23" x14ac:dyDescent="0.25">
      <c r="G19" s="14" t="s">
        <v>26</v>
      </c>
      <c r="H19" s="12">
        <v>11048</v>
      </c>
      <c r="N19" s="16" t="s">
        <v>76</v>
      </c>
      <c r="O19" s="29">
        <v>277426</v>
      </c>
      <c r="Q19" s="14" t="s">
        <v>68</v>
      </c>
      <c r="R19" s="15">
        <v>0.50873636363636365</v>
      </c>
      <c r="S19" s="15">
        <v>2.8754545454545455</v>
      </c>
      <c r="T19" s="6">
        <v>5.6996406905238457</v>
      </c>
      <c r="V19" t="str">
        <f t="shared" si="1"/>
        <v>Oct</v>
      </c>
      <c r="W19" s="6">
        <f t="shared" si="0"/>
        <v>8.4736340657704972</v>
      </c>
    </row>
    <row r="20" spans="7:23" x14ac:dyDescent="0.25">
      <c r="G20" s="14" t="s">
        <v>27</v>
      </c>
      <c r="H20" s="12">
        <v>24051</v>
      </c>
      <c r="N20" s="16" t="s">
        <v>78</v>
      </c>
      <c r="O20" s="29">
        <v>373345</v>
      </c>
      <c r="Q20" s="14" t="s">
        <v>70</v>
      </c>
      <c r="R20" s="15">
        <v>0.29653913043478264</v>
      </c>
      <c r="S20" s="15">
        <v>3.5221739130434786</v>
      </c>
      <c r="T20" s="6">
        <v>8.4736340657704972</v>
      </c>
      <c r="V20" t="str">
        <f t="shared" si="1"/>
        <v>Nov</v>
      </c>
      <c r="W20" s="6">
        <f t="shared" si="0"/>
        <v>7.0658579223677433</v>
      </c>
    </row>
    <row r="21" spans="7:23" x14ac:dyDescent="0.25">
      <c r="G21" s="14" t="s">
        <v>28</v>
      </c>
      <c r="H21" s="12">
        <v>57375</v>
      </c>
      <c r="N21" s="16" t="s">
        <v>79</v>
      </c>
      <c r="O21" s="29">
        <v>589545</v>
      </c>
      <c r="Q21" s="14" t="s">
        <v>71</v>
      </c>
      <c r="R21" s="15">
        <v>0.46848636363636359</v>
      </c>
      <c r="S21" s="15">
        <v>2.6613636363636362</v>
      </c>
      <c r="T21" s="6">
        <v>7.0658579223677433</v>
      </c>
      <c r="V21" t="str">
        <f t="shared" si="1"/>
        <v>Dec</v>
      </c>
      <c r="W21" s="6">
        <f t="shared" si="0"/>
        <v>5.7635374100037779</v>
      </c>
    </row>
    <row r="22" spans="7:23" x14ac:dyDescent="0.25">
      <c r="G22" s="14" t="s">
        <v>29</v>
      </c>
      <c r="H22" s="12">
        <v>75710</v>
      </c>
      <c r="J22" s="32" t="s">
        <v>90</v>
      </c>
      <c r="K22" s="32"/>
      <c r="L22" s="32"/>
      <c r="N22" s="16" t="s">
        <v>80</v>
      </c>
      <c r="O22" s="29">
        <v>469360</v>
      </c>
      <c r="Q22" s="14" t="s">
        <v>72</v>
      </c>
      <c r="R22" s="15">
        <v>0.4754181818181818</v>
      </c>
      <c r="S22" s="15">
        <v>2.8672727272727272</v>
      </c>
      <c r="T22" s="6">
        <v>5.7635374100037779</v>
      </c>
    </row>
    <row r="23" spans="7:23" x14ac:dyDescent="0.25">
      <c r="G23" s="14" t="s">
        <v>30</v>
      </c>
      <c r="H23" s="12">
        <v>37578</v>
      </c>
      <c r="N23" s="16" t="s">
        <v>81</v>
      </c>
      <c r="O23" s="29">
        <v>266165</v>
      </c>
    </row>
    <row r="24" spans="7:23" x14ac:dyDescent="0.25">
      <c r="G24" s="14" t="s">
        <v>31</v>
      </c>
      <c r="H24" s="12">
        <v>29809</v>
      </c>
      <c r="J24" t="s">
        <v>91</v>
      </c>
      <c r="L24" s="28">
        <f>((M2-M1)/M3)</f>
        <v>0.22789927301437754</v>
      </c>
      <c r="N24" s="16" t="s">
        <v>82</v>
      </c>
      <c r="O24" s="29">
        <v>115788</v>
      </c>
    </row>
    <row r="25" spans="7:23" x14ac:dyDescent="0.25">
      <c r="G25" s="14" t="s">
        <v>32</v>
      </c>
      <c r="H25" s="12">
        <v>13857</v>
      </c>
    </row>
    <row r="26" spans="7:23" x14ac:dyDescent="0.25">
      <c r="G26" s="14" t="s">
        <v>35</v>
      </c>
      <c r="H26" s="12">
        <v>6931</v>
      </c>
      <c r="J26" t="s">
        <v>92</v>
      </c>
      <c r="L26" s="5">
        <f>((O2-O1)/O3)</f>
        <v>0.47445208432171537</v>
      </c>
    </row>
    <row r="27" spans="7:23" x14ac:dyDescent="0.25">
      <c r="G27" s="14" t="s">
        <v>36</v>
      </c>
      <c r="H27" s="12">
        <v>2576</v>
      </c>
      <c r="L27" s="5"/>
    </row>
    <row r="28" spans="7:23" x14ac:dyDescent="0.25">
      <c r="G28" s="14" t="s">
        <v>37</v>
      </c>
      <c r="H28" s="12">
        <v>28758</v>
      </c>
      <c r="J28" t="s">
        <v>93</v>
      </c>
      <c r="L28" s="5">
        <f>((N2-N1)/N3)</f>
        <v>0.56173275010582757</v>
      </c>
    </row>
    <row r="30" spans="7:23" x14ac:dyDescent="0.25">
      <c r="J30" t="s">
        <v>94</v>
      </c>
      <c r="L30" s="5">
        <f>((GETPIVOTDATA("[Measures].[Sum of Average Conversion Rate in 2020]",$M$32)-GETPIVOTDATA("[Measures].[Sum of Average Conversion rate 2019]",$O$32))/GETPIVOTDATA("[Measures].[Max of Conversion Rate (%)]",$N$36))*100</f>
        <v>0.74971618267604034</v>
      </c>
    </row>
    <row r="32" spans="7:23" x14ac:dyDescent="0.25">
      <c r="M32" t="s">
        <v>85</v>
      </c>
      <c r="O32" t="s">
        <v>86</v>
      </c>
    </row>
    <row r="33" spans="4:22" x14ac:dyDescent="0.25">
      <c r="M33" s="9">
        <v>3.3031210191082798</v>
      </c>
      <c r="O33" s="9">
        <v>2.9876404494382021</v>
      </c>
    </row>
    <row r="35" spans="4:22" x14ac:dyDescent="0.25">
      <c r="D35" s="13" t="s">
        <v>83</v>
      </c>
      <c r="E35" t="s">
        <v>87</v>
      </c>
      <c r="F35" t="s">
        <v>63</v>
      </c>
      <c r="H35" t="s">
        <v>96</v>
      </c>
      <c r="I35" t="str">
        <f t="shared" ref="I35:I47" si="2">E35</f>
        <v>Sum of Bounce Rate</v>
      </c>
      <c r="J35" t="str">
        <f t="shared" ref="J35:J47" si="3">F35</f>
        <v>Sum of Conversion Rate (%)</v>
      </c>
    </row>
    <row r="36" spans="4:22" x14ac:dyDescent="0.25">
      <c r="D36" s="14" t="s">
        <v>74</v>
      </c>
      <c r="E36" s="9">
        <v>11.838200000000001</v>
      </c>
      <c r="F36" s="9">
        <v>67.55</v>
      </c>
      <c r="H36" t="str">
        <f t="shared" ref="H36:H47" si="4">D36</f>
        <v>Jan</v>
      </c>
      <c r="I36" s="10">
        <f t="shared" si="2"/>
        <v>11.838200000000001</v>
      </c>
      <c r="J36" s="10">
        <f t="shared" si="3"/>
        <v>67.55</v>
      </c>
      <c r="N36" t="s">
        <v>95</v>
      </c>
    </row>
    <row r="37" spans="4:22" x14ac:dyDescent="0.25">
      <c r="D37" s="14" t="s">
        <v>75</v>
      </c>
      <c r="E37" s="9">
        <v>10.258699999999999</v>
      </c>
      <c r="F37" s="9">
        <v>69.61</v>
      </c>
      <c r="H37" t="str">
        <f t="shared" si="4"/>
        <v>Feb</v>
      </c>
      <c r="I37" s="10">
        <f t="shared" si="2"/>
        <v>10.258699999999999</v>
      </c>
      <c r="J37" s="10">
        <f t="shared" si="3"/>
        <v>69.61</v>
      </c>
      <c r="N37" s="9">
        <v>42.08</v>
      </c>
    </row>
    <row r="38" spans="4:22" x14ac:dyDescent="0.25">
      <c r="D38" s="14" t="s">
        <v>76</v>
      </c>
      <c r="E38" s="9">
        <v>9.6037999999999997</v>
      </c>
      <c r="F38" s="9">
        <v>64.680000000000007</v>
      </c>
      <c r="H38" t="str">
        <f t="shared" si="4"/>
        <v>Mar</v>
      </c>
      <c r="I38" s="10">
        <f t="shared" si="2"/>
        <v>9.6037999999999997</v>
      </c>
      <c r="J38" s="10">
        <f t="shared" si="3"/>
        <v>64.680000000000007</v>
      </c>
      <c r="U38" s="19"/>
    </row>
    <row r="39" spans="4:22" x14ac:dyDescent="0.25">
      <c r="D39" s="14" t="s">
        <v>78</v>
      </c>
      <c r="E39" s="9">
        <v>11.4575</v>
      </c>
      <c r="F39" s="9">
        <v>78.09</v>
      </c>
      <c r="H39" t="str">
        <f t="shared" si="4"/>
        <v>Apr</v>
      </c>
      <c r="I39" s="10">
        <f t="shared" si="2"/>
        <v>11.4575</v>
      </c>
      <c r="J39" s="10">
        <f t="shared" si="3"/>
        <v>78.09</v>
      </c>
    </row>
    <row r="40" spans="4:22" x14ac:dyDescent="0.25">
      <c r="D40" s="14" t="s">
        <v>79</v>
      </c>
      <c r="E40" s="9">
        <v>13.555199999999999</v>
      </c>
      <c r="F40" s="9">
        <v>75.069999999999993</v>
      </c>
      <c r="H40" t="str">
        <f t="shared" si="4"/>
        <v>May</v>
      </c>
      <c r="I40" s="10">
        <f t="shared" si="2"/>
        <v>13.555199999999999</v>
      </c>
      <c r="J40" s="10">
        <f t="shared" si="3"/>
        <v>75.069999999999993</v>
      </c>
    </row>
    <row r="41" spans="4:22" x14ac:dyDescent="0.25">
      <c r="D41" s="14" t="s">
        <v>80</v>
      </c>
      <c r="E41" s="9">
        <v>8.5290999999999997</v>
      </c>
      <c r="F41" s="9">
        <v>72.81</v>
      </c>
      <c r="H41" t="str">
        <f t="shared" si="4"/>
        <v>Jun</v>
      </c>
      <c r="I41" s="10">
        <f t="shared" si="2"/>
        <v>8.5290999999999997</v>
      </c>
      <c r="J41" s="10">
        <f t="shared" si="3"/>
        <v>72.81</v>
      </c>
    </row>
    <row r="42" spans="4:22" x14ac:dyDescent="0.25">
      <c r="D42" s="14" t="s">
        <v>81</v>
      </c>
      <c r="E42" s="9">
        <v>7.8277000000000001</v>
      </c>
      <c r="F42" s="9">
        <v>73.25</v>
      </c>
      <c r="H42" t="str">
        <f t="shared" si="4"/>
        <v>Jul</v>
      </c>
      <c r="I42" s="10">
        <f t="shared" si="2"/>
        <v>7.8277000000000001</v>
      </c>
      <c r="J42" s="10">
        <f t="shared" si="3"/>
        <v>73.25</v>
      </c>
    </row>
    <row r="43" spans="4:22" x14ac:dyDescent="0.25">
      <c r="D43" s="14" t="s">
        <v>82</v>
      </c>
      <c r="E43" s="9">
        <v>8.8374000000000006</v>
      </c>
      <c r="F43" s="9">
        <v>17.53</v>
      </c>
      <c r="H43" t="str">
        <f t="shared" si="4"/>
        <v>Aug</v>
      </c>
      <c r="I43" s="10">
        <f t="shared" si="2"/>
        <v>8.8374000000000006</v>
      </c>
      <c r="J43" s="10">
        <f t="shared" si="3"/>
        <v>17.53</v>
      </c>
      <c r="M43" s="13" t="s">
        <v>83</v>
      </c>
      <c r="N43" t="s">
        <v>98</v>
      </c>
      <c r="P43" s="13" t="s">
        <v>83</v>
      </c>
      <c r="Q43" t="s">
        <v>61</v>
      </c>
      <c r="R43" t="s">
        <v>99</v>
      </c>
      <c r="T43" t="s">
        <v>96</v>
      </c>
      <c r="U43" t="str">
        <f>Q43</f>
        <v>Sum of Revenue</v>
      </c>
      <c r="V43" t="str">
        <f>R43</f>
        <v>Sum of Quantity Sold</v>
      </c>
    </row>
    <row r="44" spans="4:22" x14ac:dyDescent="0.25">
      <c r="D44" s="14" t="s">
        <v>68</v>
      </c>
      <c r="E44" s="9">
        <v>11.1922</v>
      </c>
      <c r="F44" s="9">
        <v>63.26</v>
      </c>
      <c r="H44" t="str">
        <f t="shared" si="4"/>
        <v>Sep</v>
      </c>
      <c r="I44" s="10">
        <f t="shared" si="2"/>
        <v>11.1922</v>
      </c>
      <c r="J44" s="10">
        <f t="shared" si="3"/>
        <v>63.26</v>
      </c>
      <c r="M44" s="14" t="s">
        <v>74</v>
      </c>
      <c r="N44" s="20">
        <v>41584.090909090912</v>
      </c>
      <c r="P44" s="14" t="s">
        <v>74</v>
      </c>
      <c r="Q44" s="29">
        <v>307336</v>
      </c>
      <c r="R44" s="11">
        <v>1964</v>
      </c>
      <c r="T44" t="str">
        <f t="shared" ref="T44:T55" si="5">P44</f>
        <v>Jan</v>
      </c>
      <c r="U44" s="29">
        <f t="shared" ref="U44:U55" si="6">Q44</f>
        <v>307336</v>
      </c>
      <c r="V44">
        <f t="shared" ref="V44:V55" si="7">R44</f>
        <v>1964</v>
      </c>
    </row>
    <row r="45" spans="4:22" x14ac:dyDescent="0.25">
      <c r="D45" s="14" t="s">
        <v>70</v>
      </c>
      <c r="E45" s="9">
        <v>6.8204000000000002</v>
      </c>
      <c r="F45" s="9">
        <v>81.010000000000005</v>
      </c>
      <c r="H45" t="str">
        <f t="shared" si="4"/>
        <v>Oct</v>
      </c>
      <c r="I45" s="10">
        <f t="shared" si="2"/>
        <v>6.8204000000000002</v>
      </c>
      <c r="J45" s="10">
        <f t="shared" si="3"/>
        <v>81.010000000000005</v>
      </c>
      <c r="M45" s="14" t="s">
        <v>75</v>
      </c>
      <c r="N45" s="20">
        <v>41046.550000000003</v>
      </c>
      <c r="P45" s="14" t="s">
        <v>75</v>
      </c>
      <c r="Q45" s="29">
        <v>323540</v>
      </c>
      <c r="R45" s="11">
        <v>2670</v>
      </c>
      <c r="T45" t="str">
        <f t="shared" si="5"/>
        <v>Feb</v>
      </c>
      <c r="U45" s="29">
        <f t="shared" si="6"/>
        <v>323540</v>
      </c>
      <c r="V45">
        <f t="shared" si="7"/>
        <v>2670</v>
      </c>
    </row>
    <row r="46" spans="4:22" x14ac:dyDescent="0.25">
      <c r="D46" s="14" t="s">
        <v>71</v>
      </c>
      <c r="E46" s="9">
        <v>10.306699999999999</v>
      </c>
      <c r="F46" s="9">
        <v>58.55</v>
      </c>
      <c r="H46" t="str">
        <f t="shared" si="4"/>
        <v>Nov</v>
      </c>
      <c r="I46" s="10">
        <f t="shared" si="2"/>
        <v>10.306699999999999</v>
      </c>
      <c r="J46" s="10">
        <f t="shared" si="3"/>
        <v>58.55</v>
      </c>
      <c r="M46" s="14" t="s">
        <v>76</v>
      </c>
      <c r="N46" s="20">
        <v>39949.388888888891</v>
      </c>
      <c r="P46" s="14" t="s">
        <v>76</v>
      </c>
      <c r="Q46" s="29">
        <v>277426</v>
      </c>
      <c r="R46" s="11">
        <v>2960</v>
      </c>
      <c r="T46" t="str">
        <f t="shared" si="5"/>
        <v>Mar</v>
      </c>
      <c r="U46" s="29">
        <f t="shared" si="6"/>
        <v>277426</v>
      </c>
      <c r="V46">
        <f t="shared" si="7"/>
        <v>2960</v>
      </c>
    </row>
    <row r="47" spans="4:22" x14ac:dyDescent="0.25">
      <c r="D47" s="14" t="s">
        <v>72</v>
      </c>
      <c r="E47" s="9">
        <v>10.459199999999999</v>
      </c>
      <c r="F47" s="9">
        <v>63.08</v>
      </c>
      <c r="H47" t="str">
        <f t="shared" si="4"/>
        <v>Dec</v>
      </c>
      <c r="I47" s="10">
        <f t="shared" si="2"/>
        <v>10.459199999999999</v>
      </c>
      <c r="J47" s="10">
        <f t="shared" si="3"/>
        <v>63.08</v>
      </c>
      <c r="M47" s="14" t="s">
        <v>78</v>
      </c>
      <c r="N47" s="20">
        <v>41612.809523809527</v>
      </c>
      <c r="P47" s="14" t="s">
        <v>78</v>
      </c>
      <c r="Q47" s="29">
        <v>373345</v>
      </c>
      <c r="R47" s="11">
        <v>4696</v>
      </c>
      <c r="T47" t="str">
        <f t="shared" si="5"/>
        <v>Apr</v>
      </c>
      <c r="U47" s="29">
        <f t="shared" si="6"/>
        <v>373345</v>
      </c>
      <c r="V47">
        <f t="shared" si="7"/>
        <v>4696</v>
      </c>
    </row>
    <row r="48" spans="4:22" x14ac:dyDescent="0.25">
      <c r="D48" s="14" t="s">
        <v>60</v>
      </c>
      <c r="E48" s="9">
        <v>120.6861</v>
      </c>
      <c r="F48" s="9">
        <v>784.49</v>
      </c>
      <c r="M48" s="14" t="s">
        <v>79</v>
      </c>
      <c r="N48" s="20">
        <v>50323.678571428572</v>
      </c>
      <c r="P48" s="14" t="s">
        <v>79</v>
      </c>
      <c r="Q48" s="29">
        <v>589545</v>
      </c>
      <c r="R48" s="11">
        <v>7594</v>
      </c>
      <c r="T48" t="str">
        <f t="shared" si="5"/>
        <v>May</v>
      </c>
      <c r="U48" s="29">
        <f t="shared" si="6"/>
        <v>589545</v>
      </c>
      <c r="V48">
        <f t="shared" si="7"/>
        <v>7594</v>
      </c>
    </row>
    <row r="49" spans="6:22" x14ac:dyDescent="0.25">
      <c r="M49" s="14" t="s">
        <v>80</v>
      </c>
      <c r="N49" s="20">
        <v>56374</v>
      </c>
      <c r="P49" s="14" t="s">
        <v>80</v>
      </c>
      <c r="Q49" s="29">
        <v>469360</v>
      </c>
      <c r="R49" s="11">
        <v>5999</v>
      </c>
      <c r="T49" t="str">
        <f t="shared" si="5"/>
        <v>Jun</v>
      </c>
      <c r="U49" s="29">
        <f t="shared" si="6"/>
        <v>469360</v>
      </c>
      <c r="V49">
        <f t="shared" si="7"/>
        <v>5999</v>
      </c>
    </row>
    <row r="50" spans="6:22" x14ac:dyDescent="0.25">
      <c r="M50" s="14" t="s">
        <v>81</v>
      </c>
      <c r="N50" s="20">
        <v>42680</v>
      </c>
      <c r="P50" s="14" t="s">
        <v>81</v>
      </c>
      <c r="Q50" s="29">
        <v>266165</v>
      </c>
      <c r="R50" s="11">
        <v>3530</v>
      </c>
      <c r="T50" t="str">
        <f t="shared" si="5"/>
        <v>Jul</v>
      </c>
      <c r="U50" s="29">
        <f t="shared" si="6"/>
        <v>266165</v>
      </c>
      <c r="V50">
        <f t="shared" si="7"/>
        <v>3530</v>
      </c>
    </row>
    <row r="51" spans="6:22" x14ac:dyDescent="0.25">
      <c r="M51" s="14" t="s">
        <v>82</v>
      </c>
      <c r="N51" s="20">
        <v>25214.058823529413</v>
      </c>
      <c r="P51" s="14" t="s">
        <v>82</v>
      </c>
      <c r="Q51" s="29">
        <v>115788</v>
      </c>
      <c r="R51" s="11">
        <v>1454</v>
      </c>
      <c r="T51" t="str">
        <f t="shared" si="5"/>
        <v>Aug</v>
      </c>
      <c r="U51" s="29">
        <f t="shared" si="6"/>
        <v>115788</v>
      </c>
      <c r="V51">
        <f t="shared" si="7"/>
        <v>1454</v>
      </c>
    </row>
    <row r="52" spans="6:22" x14ac:dyDescent="0.25">
      <c r="M52" s="14" t="s">
        <v>68</v>
      </c>
      <c r="N52" s="20">
        <v>39154.409090909088</v>
      </c>
      <c r="P52" s="14" t="s">
        <v>68</v>
      </c>
      <c r="Q52" s="29">
        <v>155796</v>
      </c>
      <c r="R52" s="11">
        <v>1289</v>
      </c>
      <c r="T52" t="str">
        <f t="shared" si="5"/>
        <v>Sep</v>
      </c>
      <c r="U52" s="29">
        <f t="shared" si="6"/>
        <v>155796</v>
      </c>
      <c r="V52">
        <f t="shared" si="7"/>
        <v>1289</v>
      </c>
    </row>
    <row r="53" spans="6:22" x14ac:dyDescent="0.25">
      <c r="M53" s="14" t="s">
        <v>70</v>
      </c>
      <c r="N53" s="20">
        <v>45035.260869565216</v>
      </c>
      <c r="P53" s="14" t="s">
        <v>70</v>
      </c>
      <c r="Q53" s="29">
        <v>283905</v>
      </c>
      <c r="R53" s="11">
        <v>2007</v>
      </c>
      <c r="T53" t="str">
        <f t="shared" si="5"/>
        <v>Oct</v>
      </c>
      <c r="U53" s="29">
        <f t="shared" si="6"/>
        <v>283905</v>
      </c>
      <c r="V53">
        <f t="shared" si="7"/>
        <v>2007</v>
      </c>
    </row>
    <row r="54" spans="6:22" x14ac:dyDescent="0.25">
      <c r="M54" s="14" t="s">
        <v>71</v>
      </c>
      <c r="N54" s="20">
        <v>53141.86363636364</v>
      </c>
      <c r="P54" s="14" t="s">
        <v>71</v>
      </c>
      <c r="Q54" s="29">
        <v>270010</v>
      </c>
      <c r="R54" s="11">
        <v>1679</v>
      </c>
      <c r="T54" t="str">
        <f t="shared" si="5"/>
        <v>Nov</v>
      </c>
      <c r="U54" s="29">
        <f t="shared" si="6"/>
        <v>270010</v>
      </c>
      <c r="V54">
        <f t="shared" si="7"/>
        <v>1679</v>
      </c>
    </row>
    <row r="55" spans="6:22" x14ac:dyDescent="0.25">
      <c r="M55" s="14" t="s">
        <v>72</v>
      </c>
      <c r="N55" s="20">
        <v>47486.772727272728</v>
      </c>
      <c r="P55" s="14" t="s">
        <v>72</v>
      </c>
      <c r="Q55" s="29">
        <v>260688</v>
      </c>
      <c r="R55" s="11">
        <v>1682</v>
      </c>
      <c r="T55" t="str">
        <f t="shared" si="5"/>
        <v>Dec</v>
      </c>
      <c r="U55" s="29">
        <f t="shared" si="6"/>
        <v>260688</v>
      </c>
      <c r="V55">
        <f t="shared" si="7"/>
        <v>1682</v>
      </c>
    </row>
    <row r="58" spans="6:22" x14ac:dyDescent="0.25">
      <c r="P58" t="s">
        <v>96</v>
      </c>
      <c r="Q58" t="str">
        <f t="shared" ref="Q58:Q70" si="8">Q43</f>
        <v>Sum of Revenue</v>
      </c>
    </row>
    <row r="59" spans="6:22" x14ac:dyDescent="0.25">
      <c r="F59" s="13" t="s">
        <v>83</v>
      </c>
      <c r="G59" t="s">
        <v>84</v>
      </c>
      <c r="I59" s="13" t="s">
        <v>83</v>
      </c>
      <c r="J59" t="s">
        <v>100</v>
      </c>
      <c r="M59" t="s">
        <v>96</v>
      </c>
      <c r="N59" t="str">
        <f t="shared" ref="N59:N71" si="9">N43</f>
        <v>Average of Pageviews</v>
      </c>
      <c r="P59" t="str">
        <f t="shared" ref="P59:P70" si="10">P44</f>
        <v>Jan</v>
      </c>
      <c r="Q59" s="30">
        <f t="shared" si="8"/>
        <v>307336</v>
      </c>
    </row>
    <row r="60" spans="6:22" x14ac:dyDescent="0.25">
      <c r="F60" s="14" t="s">
        <v>73</v>
      </c>
      <c r="G60" s="9">
        <v>4778</v>
      </c>
      <c r="I60" s="14" t="s">
        <v>73</v>
      </c>
      <c r="J60" s="2">
        <v>0.24021770918941604</v>
      </c>
      <c r="M60" t="str">
        <f t="shared" ref="M60:M71" si="11">M44</f>
        <v>Jan</v>
      </c>
      <c r="N60">
        <f t="shared" si="9"/>
        <v>41584.090909090912</v>
      </c>
      <c r="P60" t="str">
        <f t="shared" si="10"/>
        <v>Feb</v>
      </c>
      <c r="Q60" s="30">
        <f t="shared" si="8"/>
        <v>323540</v>
      </c>
    </row>
    <row r="61" spans="6:22" x14ac:dyDescent="0.25">
      <c r="F61" s="14" t="s">
        <v>77</v>
      </c>
      <c r="G61" s="9">
        <v>9298</v>
      </c>
      <c r="I61" s="14" t="s">
        <v>77</v>
      </c>
      <c r="J61" s="2">
        <v>0.25026148195865805</v>
      </c>
      <c r="M61" t="str">
        <f t="shared" si="11"/>
        <v>Feb</v>
      </c>
      <c r="N61">
        <f t="shared" si="9"/>
        <v>41046.550000000003</v>
      </c>
      <c r="P61" t="str">
        <f t="shared" si="10"/>
        <v>Mar</v>
      </c>
      <c r="Q61" s="30">
        <f t="shared" si="8"/>
        <v>277426</v>
      </c>
    </row>
    <row r="62" spans="6:22" x14ac:dyDescent="0.25">
      <c r="F62" s="14" t="s">
        <v>67</v>
      </c>
      <c r="G62" s="9">
        <v>3403</v>
      </c>
      <c r="I62" s="14" t="s">
        <v>67</v>
      </c>
      <c r="J62" s="2">
        <v>0.23140543577234207</v>
      </c>
      <c r="M62" t="str">
        <f t="shared" si="11"/>
        <v>Mar</v>
      </c>
      <c r="N62">
        <f t="shared" si="9"/>
        <v>39949.388888888891</v>
      </c>
      <c r="P62" t="str">
        <f t="shared" si="10"/>
        <v>Apr</v>
      </c>
      <c r="Q62" s="30">
        <f t="shared" si="8"/>
        <v>373345</v>
      </c>
      <c r="V62" s="9"/>
    </row>
    <row r="63" spans="6:22" x14ac:dyDescent="0.25">
      <c r="F63" s="14" t="s">
        <v>69</v>
      </c>
      <c r="G63" s="9">
        <v>3782</v>
      </c>
      <c r="I63" s="14" t="s">
        <v>69</v>
      </c>
      <c r="J63" s="2">
        <v>0.27811537307958373</v>
      </c>
      <c r="M63" t="str">
        <f t="shared" si="11"/>
        <v>Apr</v>
      </c>
      <c r="N63">
        <f t="shared" si="9"/>
        <v>41612.809523809527</v>
      </c>
      <c r="P63" t="str">
        <f t="shared" si="10"/>
        <v>May</v>
      </c>
      <c r="Q63" s="30">
        <f t="shared" si="8"/>
        <v>589545</v>
      </c>
    </row>
    <row r="64" spans="6:22" x14ac:dyDescent="0.25">
      <c r="M64" t="str">
        <f t="shared" si="11"/>
        <v>May</v>
      </c>
      <c r="N64">
        <f t="shared" si="9"/>
        <v>50323.678571428572</v>
      </c>
      <c r="P64" t="str">
        <f t="shared" si="10"/>
        <v>Jun</v>
      </c>
      <c r="Q64" s="30">
        <f t="shared" si="8"/>
        <v>469360</v>
      </c>
    </row>
    <row r="65" spans="5:18" x14ac:dyDescent="0.25">
      <c r="M65" t="str">
        <f t="shared" si="11"/>
        <v>Jun</v>
      </c>
      <c r="N65">
        <f t="shared" si="9"/>
        <v>56374</v>
      </c>
      <c r="P65" t="str">
        <f t="shared" si="10"/>
        <v>Jul</v>
      </c>
      <c r="Q65" s="30">
        <f t="shared" si="8"/>
        <v>266165</v>
      </c>
    </row>
    <row r="66" spans="5:18" x14ac:dyDescent="0.25">
      <c r="M66" t="str">
        <f t="shared" si="11"/>
        <v>Jul</v>
      </c>
      <c r="N66">
        <f t="shared" si="9"/>
        <v>42680</v>
      </c>
      <c r="P66" t="str">
        <f t="shared" si="10"/>
        <v>Aug</v>
      </c>
      <c r="Q66" s="30">
        <f t="shared" si="8"/>
        <v>115788</v>
      </c>
    </row>
    <row r="67" spans="5:18" x14ac:dyDescent="0.25">
      <c r="M67" t="str">
        <f t="shared" si="11"/>
        <v>Aug</v>
      </c>
      <c r="N67">
        <f t="shared" si="9"/>
        <v>25214.058823529413</v>
      </c>
      <c r="P67" t="str">
        <f t="shared" si="10"/>
        <v>Sep</v>
      </c>
      <c r="Q67" s="30">
        <f t="shared" si="8"/>
        <v>155796</v>
      </c>
    </row>
    <row r="68" spans="5:18" x14ac:dyDescent="0.25">
      <c r="M68" t="str">
        <f t="shared" si="11"/>
        <v>Sep</v>
      </c>
      <c r="N68">
        <f t="shared" si="9"/>
        <v>39154.409090909088</v>
      </c>
      <c r="P68" t="str">
        <f t="shared" si="10"/>
        <v>Oct</v>
      </c>
      <c r="Q68" s="30">
        <f t="shared" si="8"/>
        <v>283905</v>
      </c>
    </row>
    <row r="69" spans="5:18" x14ac:dyDescent="0.25">
      <c r="M69" t="str">
        <f t="shared" si="11"/>
        <v>Oct</v>
      </c>
      <c r="N69">
        <f t="shared" si="9"/>
        <v>45035.260869565216</v>
      </c>
      <c r="P69" t="str">
        <f t="shared" si="10"/>
        <v>Nov</v>
      </c>
      <c r="Q69" s="30">
        <f t="shared" si="8"/>
        <v>270010</v>
      </c>
    </row>
    <row r="70" spans="5:18" x14ac:dyDescent="0.25">
      <c r="E70" s="13" t="s">
        <v>83</v>
      </c>
      <c r="F70" t="s">
        <v>59</v>
      </c>
      <c r="H70" s="13" t="s">
        <v>83</v>
      </c>
      <c r="M70" t="str">
        <f t="shared" si="11"/>
        <v>Nov</v>
      </c>
      <c r="N70">
        <f t="shared" si="9"/>
        <v>53141.86363636364</v>
      </c>
      <c r="P70" t="str">
        <f t="shared" si="10"/>
        <v>Dec</v>
      </c>
      <c r="Q70" s="30">
        <f t="shared" si="8"/>
        <v>260688</v>
      </c>
      <c r="R70" s="9"/>
    </row>
    <row r="71" spans="5:18" x14ac:dyDescent="0.25">
      <c r="E71" s="14" t="s">
        <v>73</v>
      </c>
      <c r="F71" s="9">
        <v>614672</v>
      </c>
      <c r="H71" s="14" t="s">
        <v>73</v>
      </c>
      <c r="M71" t="str">
        <f t="shared" si="11"/>
        <v>Dec</v>
      </c>
      <c r="N71">
        <f t="shared" si="9"/>
        <v>47486.772727272728</v>
      </c>
    </row>
    <row r="72" spans="5:18" x14ac:dyDescent="0.25">
      <c r="E72" s="14" t="s">
        <v>77</v>
      </c>
      <c r="F72" s="9">
        <v>737148</v>
      </c>
      <c r="H72" s="14" t="s">
        <v>77</v>
      </c>
    </row>
    <row r="73" spans="5:18" x14ac:dyDescent="0.25">
      <c r="E73" s="14" t="s">
        <v>67</v>
      </c>
      <c r="F73" s="9">
        <v>535209</v>
      </c>
      <c r="H73" s="14" t="s">
        <v>67</v>
      </c>
    </row>
    <row r="74" spans="5:18" x14ac:dyDescent="0.25">
      <c r="E74" s="14" t="s">
        <v>69</v>
      </c>
      <c r="F74" s="9">
        <v>832282</v>
      </c>
      <c r="H74" s="14" t="s">
        <v>69</v>
      </c>
    </row>
    <row r="81" spans="8:25" x14ac:dyDescent="0.25">
      <c r="R81" t="s">
        <v>95</v>
      </c>
    </row>
    <row r="82" spans="8:25" x14ac:dyDescent="0.25">
      <c r="H82" t="s">
        <v>59</v>
      </c>
      <c r="I82" t="s">
        <v>101</v>
      </c>
      <c r="J82" t="s">
        <v>102</v>
      </c>
      <c r="K82" t="s">
        <v>84</v>
      </c>
      <c r="L82" t="s">
        <v>104</v>
      </c>
      <c r="M82" t="s">
        <v>103</v>
      </c>
      <c r="N82" t="s">
        <v>89</v>
      </c>
      <c r="R82" s="9">
        <v>42.08</v>
      </c>
    </row>
    <row r="83" spans="8:25" x14ac:dyDescent="0.25">
      <c r="H83" s="9">
        <v>2719311</v>
      </c>
      <c r="I83" s="9">
        <v>635753</v>
      </c>
      <c r="J83" s="9">
        <v>2083558</v>
      </c>
      <c r="K83" s="9">
        <v>21261</v>
      </c>
      <c r="L83" s="9">
        <v>14951.028340080971</v>
      </c>
      <c r="M83" s="9">
        <v>11.593514465532502</v>
      </c>
      <c r="N83" s="9">
        <v>6.4500729080423955</v>
      </c>
    </row>
    <row r="85" spans="8:25" x14ac:dyDescent="0.25">
      <c r="H85" t="str">
        <f>H82</f>
        <v>Sum of Users</v>
      </c>
      <c r="I85" t="str">
        <f t="shared" ref="I85:N85" si="12">I82</f>
        <v>Sum of Returning Users</v>
      </c>
      <c r="J85" t="str">
        <f t="shared" si="12"/>
        <v>Sum of New Users</v>
      </c>
      <c r="K85" t="str">
        <f t="shared" si="12"/>
        <v>Sum of Transactions</v>
      </c>
      <c r="L85" t="str">
        <f t="shared" si="12"/>
        <v>Average of Revenue</v>
      </c>
      <c r="M85" t="str">
        <f t="shared" si="12"/>
        <v>Average of Revenue Per User</v>
      </c>
      <c r="N85" t="str">
        <f t="shared" si="12"/>
        <v>Average of Revenue Per Session</v>
      </c>
    </row>
    <row r="86" spans="8:25" x14ac:dyDescent="0.25">
      <c r="H86">
        <f>H83</f>
        <v>2719311</v>
      </c>
      <c r="I86">
        <f t="shared" ref="I86:N86" si="13">I83</f>
        <v>635753</v>
      </c>
      <c r="J86">
        <f t="shared" si="13"/>
        <v>2083558</v>
      </c>
      <c r="K86">
        <f t="shared" si="13"/>
        <v>21261</v>
      </c>
      <c r="L86">
        <f t="shared" si="13"/>
        <v>14951.028340080971</v>
      </c>
      <c r="M86">
        <f t="shared" si="13"/>
        <v>11.593514465532502</v>
      </c>
      <c r="N86">
        <f t="shared" si="13"/>
        <v>6.4500729080423955</v>
      </c>
    </row>
    <row r="88" spans="8:25" x14ac:dyDescent="0.25">
      <c r="R88" t="s">
        <v>97</v>
      </c>
    </row>
    <row r="89" spans="8:25" x14ac:dyDescent="0.25">
      <c r="R89" s="9">
        <v>10876037</v>
      </c>
      <c r="S89" s="31">
        <f>GETPIVOTDATA("[Measures].[Sum of Pageviews]",$R$88)</f>
        <v>10876037</v>
      </c>
      <c r="T89" s="20">
        <f>GETPIVOTDATA("[Measures].[Sum of Pageviews]",$R$88)</f>
        <v>10876037</v>
      </c>
    </row>
    <row r="96" spans="8:25" x14ac:dyDescent="0.25">
      <c r="R96" s="13" t="s">
        <v>83</v>
      </c>
      <c r="S96" t="s">
        <v>84</v>
      </c>
      <c r="T96" t="s">
        <v>61</v>
      </c>
      <c r="U96" t="s">
        <v>97</v>
      </c>
      <c r="V96" t="s">
        <v>96</v>
      </c>
      <c r="W96" t="str">
        <f>S96</f>
        <v>Sum of Transactions</v>
      </c>
      <c r="X96" t="str">
        <f>T96</f>
        <v>Sum of Revenue</v>
      </c>
      <c r="Y96" t="str">
        <f>U96</f>
        <v>Sum of Pageviews</v>
      </c>
    </row>
    <row r="97" spans="18:25" x14ac:dyDescent="0.25">
      <c r="R97" s="14" t="s">
        <v>74</v>
      </c>
      <c r="S97" s="30">
        <v>1401</v>
      </c>
      <c r="T97" s="30">
        <v>307336</v>
      </c>
      <c r="U97" s="31">
        <v>914850</v>
      </c>
      <c r="V97" t="str">
        <f t="shared" ref="V97:V107" si="14">R97</f>
        <v>Jan</v>
      </c>
      <c r="W97">
        <f t="shared" ref="W97:W107" si="15">S97</f>
        <v>1401</v>
      </c>
      <c r="X97">
        <f t="shared" ref="X97:Y107" si="16">T97</f>
        <v>307336</v>
      </c>
      <c r="Y97">
        <f t="shared" si="16"/>
        <v>914850</v>
      </c>
    </row>
    <row r="98" spans="18:25" x14ac:dyDescent="0.25">
      <c r="R98" s="14" t="s">
        <v>75</v>
      </c>
      <c r="S98" s="30">
        <v>1696</v>
      </c>
      <c r="T98" s="30">
        <v>323540</v>
      </c>
      <c r="U98" s="31">
        <v>820931</v>
      </c>
      <c r="V98" t="str">
        <f t="shared" si="14"/>
        <v>Feb</v>
      </c>
      <c r="W98">
        <f t="shared" si="15"/>
        <v>1696</v>
      </c>
      <c r="X98">
        <f t="shared" si="16"/>
        <v>323540</v>
      </c>
      <c r="Y98">
        <f t="shared" si="16"/>
        <v>820931</v>
      </c>
    </row>
    <row r="99" spans="18:25" x14ac:dyDescent="0.25">
      <c r="R99" s="14" t="s">
        <v>76</v>
      </c>
      <c r="S99" s="30">
        <v>1681</v>
      </c>
      <c r="T99" s="30">
        <v>277426</v>
      </c>
      <c r="U99" s="31">
        <v>719089</v>
      </c>
      <c r="V99" t="str">
        <f t="shared" si="14"/>
        <v>Mar</v>
      </c>
      <c r="W99">
        <f t="shared" si="15"/>
        <v>1681</v>
      </c>
      <c r="X99">
        <f t="shared" si="16"/>
        <v>277426</v>
      </c>
      <c r="Y99">
        <f t="shared" si="16"/>
        <v>719089</v>
      </c>
    </row>
    <row r="100" spans="18:25" x14ac:dyDescent="0.25">
      <c r="R100" s="14" t="s">
        <v>78</v>
      </c>
      <c r="S100" s="30">
        <v>2448</v>
      </c>
      <c r="T100" s="30">
        <v>373345</v>
      </c>
      <c r="U100" s="31">
        <v>873869</v>
      </c>
      <c r="V100" t="str">
        <f t="shared" si="14"/>
        <v>Apr</v>
      </c>
      <c r="W100">
        <f t="shared" si="15"/>
        <v>2448</v>
      </c>
      <c r="X100">
        <f t="shared" si="16"/>
        <v>373345</v>
      </c>
      <c r="Y100">
        <f t="shared" si="16"/>
        <v>873869</v>
      </c>
    </row>
    <row r="101" spans="18:25" x14ac:dyDescent="0.25">
      <c r="R101" s="14" t="s">
        <v>79</v>
      </c>
      <c r="S101" s="30">
        <v>3812</v>
      </c>
      <c r="T101" s="30">
        <v>589545</v>
      </c>
      <c r="U101" s="31">
        <v>1409063</v>
      </c>
      <c r="V101" t="str">
        <f t="shared" si="14"/>
        <v>May</v>
      </c>
      <c r="W101">
        <f t="shared" si="15"/>
        <v>3812</v>
      </c>
      <c r="X101">
        <f t="shared" si="16"/>
        <v>589545</v>
      </c>
      <c r="Y101">
        <f t="shared" si="16"/>
        <v>1409063</v>
      </c>
    </row>
    <row r="102" spans="18:25" x14ac:dyDescent="0.25">
      <c r="R102" s="14" t="s">
        <v>80</v>
      </c>
      <c r="S102" s="30">
        <v>3038</v>
      </c>
      <c r="T102" s="30">
        <v>469360</v>
      </c>
      <c r="U102" s="31">
        <v>958358</v>
      </c>
      <c r="V102" t="str">
        <f t="shared" si="14"/>
        <v>Jun</v>
      </c>
      <c r="W102">
        <f t="shared" si="15"/>
        <v>3038</v>
      </c>
      <c r="X102">
        <f t="shared" si="16"/>
        <v>469360</v>
      </c>
      <c r="Y102">
        <f t="shared" si="16"/>
        <v>958358</v>
      </c>
    </row>
    <row r="103" spans="18:25" x14ac:dyDescent="0.25">
      <c r="R103" s="14" t="s">
        <v>81</v>
      </c>
      <c r="S103" s="30">
        <v>1770</v>
      </c>
      <c r="T103" s="30">
        <v>266165</v>
      </c>
      <c r="U103" s="31">
        <v>640200</v>
      </c>
      <c r="V103" t="str">
        <f t="shared" si="14"/>
        <v>Jul</v>
      </c>
      <c r="W103">
        <f t="shared" si="15"/>
        <v>1770</v>
      </c>
      <c r="X103">
        <f t="shared" si="16"/>
        <v>266165</v>
      </c>
      <c r="Y103">
        <f t="shared" si="16"/>
        <v>640200</v>
      </c>
    </row>
    <row r="104" spans="18:25" x14ac:dyDescent="0.25">
      <c r="R104" s="14" t="s">
        <v>82</v>
      </c>
      <c r="S104" s="30">
        <v>756</v>
      </c>
      <c r="T104" s="30">
        <v>115788</v>
      </c>
      <c r="U104" s="31">
        <v>428639</v>
      </c>
      <c r="V104" t="str">
        <f t="shared" si="14"/>
        <v>Aug</v>
      </c>
      <c r="W104">
        <f t="shared" si="15"/>
        <v>756</v>
      </c>
      <c r="X104">
        <f t="shared" si="16"/>
        <v>115788</v>
      </c>
      <c r="Y104">
        <f t="shared" si="16"/>
        <v>428639</v>
      </c>
    </row>
    <row r="105" spans="18:25" x14ac:dyDescent="0.25">
      <c r="R105" s="14" t="s">
        <v>68</v>
      </c>
      <c r="S105" s="30">
        <v>877</v>
      </c>
      <c r="T105" s="30">
        <v>155796</v>
      </c>
      <c r="U105" s="31">
        <v>861397</v>
      </c>
      <c r="V105" t="str">
        <f t="shared" si="14"/>
        <v>Sep</v>
      </c>
      <c r="W105">
        <f t="shared" si="15"/>
        <v>877</v>
      </c>
      <c r="X105">
        <f t="shared" si="16"/>
        <v>155796</v>
      </c>
      <c r="Y105">
        <f t="shared" si="16"/>
        <v>861397</v>
      </c>
    </row>
    <row r="106" spans="18:25" x14ac:dyDescent="0.25">
      <c r="R106" s="14" t="s">
        <v>70</v>
      </c>
      <c r="S106" s="30">
        <v>1351</v>
      </c>
      <c r="T106" s="30">
        <v>283905</v>
      </c>
      <c r="U106" s="31">
        <v>1035811</v>
      </c>
      <c r="V106" t="str">
        <f t="shared" si="14"/>
        <v>Oct</v>
      </c>
      <c r="W106">
        <f t="shared" si="15"/>
        <v>1351</v>
      </c>
      <c r="X106">
        <f t="shared" si="16"/>
        <v>283905</v>
      </c>
      <c r="Y106">
        <f t="shared" si="16"/>
        <v>1035811</v>
      </c>
    </row>
    <row r="107" spans="18:25" x14ac:dyDescent="0.25">
      <c r="R107" s="14" t="s">
        <v>71</v>
      </c>
      <c r="S107" s="30">
        <v>1154</v>
      </c>
      <c r="T107" s="30">
        <v>270010</v>
      </c>
      <c r="U107" s="31">
        <v>1169121</v>
      </c>
      <c r="V107" t="str">
        <f t="shared" si="14"/>
        <v>Nov</v>
      </c>
      <c r="W107">
        <f t="shared" si="15"/>
        <v>1154</v>
      </c>
      <c r="X107">
        <f t="shared" si="16"/>
        <v>270010</v>
      </c>
      <c r="Y107">
        <f t="shared" si="16"/>
        <v>1169121</v>
      </c>
    </row>
    <row r="108" spans="18:25" x14ac:dyDescent="0.25">
      <c r="R108" s="14" t="s">
        <v>72</v>
      </c>
      <c r="S108" s="30">
        <v>1277</v>
      </c>
      <c r="T108" s="30">
        <v>260688</v>
      </c>
      <c r="U108" s="31">
        <v>1044709</v>
      </c>
      <c r="V108" t="str">
        <f>R108</f>
        <v>Dec</v>
      </c>
      <c r="W108">
        <f>S108</f>
        <v>1277</v>
      </c>
      <c r="X108">
        <f>T108</f>
        <v>260688</v>
      </c>
      <c r="Y108">
        <f>U108</f>
        <v>1044709</v>
      </c>
    </row>
  </sheetData>
  <sortState xmlns:xlrd2="http://schemas.microsoft.com/office/spreadsheetml/2017/richdata2" ref="P43:R66">
    <sortCondition descending="1" ref="Q43"/>
  </sortState>
  <mergeCells count="1">
    <mergeCell ref="J22:L22"/>
  </mergeCells>
  <pageMargins left="0.7" right="0.7" top="0.75" bottom="0.75" header="0.3" footer="0.3"/>
  <pageSetup orientation="portrait" r:id="rId21"/>
  <drawing r:id="rId2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90C38-90BE-4F0B-ABFF-2546E7B9BA25}">
  <dimension ref="A1:EC539"/>
  <sheetViews>
    <sheetView showGridLines="0" showRowColHeaders="0" tabSelected="1" zoomScale="96" zoomScaleNormal="96" workbookViewId="0">
      <selection activeCell="L21" sqref="L21"/>
    </sheetView>
  </sheetViews>
  <sheetFormatPr defaultRowHeight="15" x14ac:dyDescent="0.25"/>
  <cols>
    <col min="1" max="1" width="9.140625" style="18"/>
    <col min="2" max="2" width="13.28515625" style="18" customWidth="1"/>
    <col min="3" max="3" width="17.42578125" style="18" customWidth="1"/>
    <col min="4" max="4" width="18.140625" style="18" customWidth="1"/>
    <col min="5" max="5" width="23.42578125" style="18" customWidth="1"/>
    <col min="6" max="6" width="15.7109375" style="18" customWidth="1"/>
    <col min="7" max="7" width="25.85546875" style="18" customWidth="1"/>
    <col min="8" max="8" width="23.140625" style="18" customWidth="1"/>
    <col min="9" max="9" width="9.140625" style="18"/>
    <col min="10" max="10" width="18.7109375" style="18" customWidth="1"/>
    <col min="11" max="16384" width="9.140625" style="18"/>
  </cols>
  <sheetData>
    <row r="1" spans="1:133" x14ac:dyDescent="0.25">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c r="CW1" s="17"/>
      <c r="CX1" s="17"/>
      <c r="CY1" s="17"/>
      <c r="CZ1" s="17"/>
      <c r="DA1" s="17"/>
      <c r="DB1" s="17"/>
      <c r="DC1" s="17"/>
      <c r="DD1" s="17"/>
      <c r="DE1" s="17"/>
      <c r="DF1" s="17"/>
      <c r="DG1" s="17"/>
      <c r="DH1" s="17"/>
      <c r="DI1" s="17"/>
      <c r="DJ1" s="17"/>
      <c r="DK1" s="17"/>
      <c r="DL1" s="17"/>
      <c r="DM1" s="17"/>
      <c r="DN1" s="17"/>
      <c r="DO1" s="17"/>
      <c r="DP1" s="17"/>
      <c r="DQ1" s="17"/>
      <c r="DR1" s="17"/>
      <c r="DS1" s="17"/>
      <c r="DT1" s="17"/>
      <c r="DU1" s="17"/>
      <c r="DV1" s="17"/>
      <c r="DW1" s="17"/>
      <c r="DX1" s="17"/>
      <c r="DY1" s="17"/>
      <c r="DZ1" s="17"/>
      <c r="EA1" s="17"/>
      <c r="EB1" s="17"/>
      <c r="EC1" s="17"/>
    </row>
    <row r="2" spans="1:133" x14ac:dyDescent="0.25">
      <c r="A2" s="17"/>
      <c r="B2" s="33">
        <f>'Pivot Table'!H86</f>
        <v>2719311</v>
      </c>
      <c r="C2" s="35">
        <f>'Pivot Table'!I86</f>
        <v>635753</v>
      </c>
      <c r="D2" s="36">
        <f>'Pivot Table'!J86</f>
        <v>2083558</v>
      </c>
      <c r="E2" s="37">
        <f>'Pivot Table'!M86</f>
        <v>11.593514465532502</v>
      </c>
      <c r="F2" s="38">
        <f>'Pivot Table'!L86</f>
        <v>14951.028340080971</v>
      </c>
      <c r="G2" s="37">
        <f>'Pivot Table'!N86</f>
        <v>6.4500729080423955</v>
      </c>
      <c r="H2" s="33">
        <f>GETPIVOTDATA("[Measures].[Max of Conversion Rate (%)]",'Pivot Table'!$R$81)</f>
        <v>42.08</v>
      </c>
      <c r="I2" s="25"/>
      <c r="J2" s="25"/>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row>
    <row r="3" spans="1:133" x14ac:dyDescent="0.25">
      <c r="A3" s="17"/>
      <c r="B3" s="33"/>
      <c r="C3" s="35"/>
      <c r="D3" s="36"/>
      <c r="E3" s="37"/>
      <c r="F3" s="38"/>
      <c r="G3" s="37"/>
      <c r="H3" s="33"/>
      <c r="I3" s="25"/>
      <c r="J3" s="25"/>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c r="DL3" s="17"/>
      <c r="DM3" s="17"/>
      <c r="DN3" s="17"/>
      <c r="DO3" s="17"/>
      <c r="DP3" s="17"/>
      <c r="DQ3" s="17"/>
      <c r="DR3" s="17"/>
      <c r="DS3" s="17"/>
      <c r="DT3" s="17"/>
      <c r="DU3" s="17"/>
      <c r="DV3" s="17"/>
      <c r="DW3" s="17"/>
      <c r="DX3" s="17"/>
      <c r="DY3" s="17"/>
      <c r="DZ3" s="17"/>
      <c r="EA3" s="17"/>
      <c r="EB3" s="17"/>
      <c r="EC3" s="17"/>
    </row>
    <row r="4" spans="1:133" x14ac:dyDescent="0.25">
      <c r="A4" s="17"/>
      <c r="B4" s="22" t="s">
        <v>105</v>
      </c>
      <c r="C4" s="22" t="s">
        <v>106</v>
      </c>
      <c r="D4" s="22" t="s">
        <v>107</v>
      </c>
      <c r="E4" s="23" t="s">
        <v>108</v>
      </c>
      <c r="F4" s="22" t="s">
        <v>109</v>
      </c>
      <c r="G4" s="22" t="s">
        <v>110</v>
      </c>
      <c r="H4" s="22" t="s">
        <v>111</v>
      </c>
      <c r="I4" s="25"/>
      <c r="J4" s="25"/>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row>
    <row r="5" spans="1:133" x14ac:dyDescent="0.25">
      <c r="A5" s="17"/>
      <c r="B5" s="21"/>
      <c r="C5" s="17"/>
      <c r="D5" s="17"/>
      <c r="E5" s="17"/>
      <c r="F5" s="17"/>
      <c r="G5" s="17"/>
      <c r="H5" s="17"/>
      <c r="I5" s="25"/>
      <c r="J5" s="25"/>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row>
    <row r="6" spans="1:133" ht="18.75" x14ac:dyDescent="0.3">
      <c r="A6" s="17"/>
      <c r="B6" s="17"/>
      <c r="C6" s="17"/>
      <c r="D6" s="17"/>
      <c r="E6" s="17"/>
      <c r="F6" s="17"/>
      <c r="G6" s="17"/>
      <c r="H6" s="17"/>
      <c r="I6" s="34"/>
      <c r="J6" s="34"/>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c r="DJ6" s="17"/>
      <c r="DK6" s="17"/>
      <c r="DL6" s="17"/>
      <c r="DM6" s="17"/>
      <c r="DN6" s="17"/>
      <c r="DO6" s="17"/>
      <c r="DP6" s="17"/>
      <c r="DQ6" s="17"/>
      <c r="DR6" s="17"/>
      <c r="DS6" s="17"/>
      <c r="DT6" s="17"/>
      <c r="DU6" s="17"/>
      <c r="DV6" s="17"/>
      <c r="DW6" s="17"/>
      <c r="DX6" s="17"/>
      <c r="DY6" s="17"/>
      <c r="DZ6" s="17"/>
      <c r="EA6" s="17"/>
      <c r="EB6" s="17"/>
      <c r="EC6" s="17"/>
    </row>
    <row r="7" spans="1:133" x14ac:dyDescent="0.25">
      <c r="A7" s="17"/>
      <c r="B7" s="17"/>
      <c r="C7" s="17"/>
      <c r="D7" s="17"/>
      <c r="E7" s="17"/>
      <c r="F7" s="17"/>
      <c r="G7" s="17"/>
      <c r="H7" s="17"/>
      <c r="I7" s="25"/>
      <c r="J7" s="25"/>
      <c r="K7" s="17"/>
      <c r="L7" s="17"/>
      <c r="M7" s="17"/>
      <c r="N7" s="27" t="s">
        <v>112</v>
      </c>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c r="DL7" s="17"/>
      <c r="DM7" s="17"/>
      <c r="DN7" s="17"/>
      <c r="DO7" s="17"/>
      <c r="DP7" s="17"/>
      <c r="DQ7" s="17"/>
      <c r="DR7" s="17"/>
      <c r="DS7" s="17"/>
      <c r="DT7" s="17"/>
      <c r="DU7" s="17"/>
      <c r="DV7" s="17"/>
      <c r="DW7" s="17"/>
      <c r="DX7" s="17"/>
      <c r="DY7" s="17"/>
      <c r="DZ7" s="17"/>
      <c r="EA7" s="17"/>
      <c r="EB7" s="17"/>
      <c r="EC7" s="17"/>
    </row>
    <row r="8" spans="1:133" x14ac:dyDescent="0.25">
      <c r="A8" s="17"/>
      <c r="B8" s="17"/>
      <c r="C8" s="17"/>
      <c r="D8" s="17"/>
      <c r="E8" s="17"/>
      <c r="F8" s="17"/>
      <c r="G8" s="17"/>
      <c r="H8" s="17"/>
      <c r="I8" s="25"/>
      <c r="J8" s="25"/>
      <c r="K8" s="17"/>
      <c r="L8" s="17"/>
      <c r="M8" s="17">
        <f>'Pivot Table'!L28</f>
        <v>0.56173275010582757</v>
      </c>
      <c r="N8" s="26"/>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row>
    <row r="9" spans="1:133" x14ac:dyDescent="0.25">
      <c r="A9" s="17"/>
      <c r="B9" s="17"/>
      <c r="C9" s="17"/>
      <c r="D9" s="17"/>
      <c r="E9" s="17"/>
      <c r="F9" s="17"/>
      <c r="G9" s="17"/>
      <c r="H9" s="17"/>
      <c r="I9" s="25"/>
      <c r="J9" s="25"/>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c r="DO9" s="17"/>
      <c r="DP9" s="17"/>
      <c r="DQ9" s="17"/>
      <c r="DR9" s="17"/>
      <c r="DS9" s="17"/>
      <c r="DT9" s="17"/>
      <c r="DU9" s="17"/>
      <c r="DV9" s="17"/>
      <c r="DW9" s="17"/>
      <c r="DX9" s="17"/>
      <c r="DY9" s="17"/>
      <c r="DZ9" s="17"/>
      <c r="EA9" s="17"/>
      <c r="EB9" s="17"/>
      <c r="EC9" s="17"/>
    </row>
    <row r="10" spans="1:133" x14ac:dyDescent="0.25">
      <c r="A10" s="17"/>
      <c r="B10" s="17"/>
      <c r="C10" s="17"/>
      <c r="D10" s="17"/>
      <c r="E10" s="17"/>
      <c r="F10" s="17"/>
      <c r="G10" s="17"/>
      <c r="H10" s="17"/>
      <c r="I10" s="25"/>
      <c r="J10" s="25"/>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row>
    <row r="11" spans="1:133" x14ac:dyDescent="0.25">
      <c r="A11" s="17"/>
      <c r="B11" s="17"/>
      <c r="C11" s="17"/>
      <c r="D11" s="17"/>
      <c r="E11" s="17"/>
      <c r="F11" s="17"/>
      <c r="G11" s="17"/>
      <c r="H11" s="17"/>
      <c r="I11" s="25"/>
      <c r="J11" s="25"/>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c r="DO11" s="17"/>
      <c r="DP11" s="17"/>
      <c r="DQ11" s="17"/>
      <c r="DR11" s="17"/>
      <c r="DS11" s="17"/>
      <c r="DT11" s="17"/>
      <c r="DU11" s="17"/>
      <c r="DV11" s="17"/>
      <c r="DW11" s="17"/>
      <c r="DX11" s="17"/>
      <c r="DY11" s="17"/>
      <c r="DZ11" s="17"/>
      <c r="EA11" s="17"/>
      <c r="EB11" s="17"/>
      <c r="EC11" s="17"/>
    </row>
    <row r="12" spans="1:133" x14ac:dyDescent="0.25">
      <c r="A12" s="17"/>
      <c r="B12" s="17"/>
      <c r="C12" s="17"/>
      <c r="D12" s="17"/>
      <c r="E12" s="17"/>
      <c r="F12" s="17"/>
      <c r="G12" s="17"/>
      <c r="H12" s="17"/>
      <c r="I12" s="25"/>
      <c r="J12" s="25"/>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c r="DO12" s="17"/>
      <c r="DP12" s="17"/>
      <c r="DQ12" s="17"/>
      <c r="DR12" s="17"/>
      <c r="DS12" s="17"/>
      <c r="DT12" s="17"/>
      <c r="DU12" s="17"/>
      <c r="DV12" s="17"/>
      <c r="DW12" s="17"/>
      <c r="DX12" s="17"/>
      <c r="DY12" s="17"/>
      <c r="DZ12" s="17"/>
      <c r="EA12" s="17"/>
      <c r="EB12" s="17"/>
      <c r="EC12" s="17"/>
    </row>
    <row r="13" spans="1:133" x14ac:dyDescent="0.25">
      <c r="A13" s="17"/>
      <c r="B13" s="17"/>
      <c r="C13" s="17"/>
      <c r="D13" s="17"/>
      <c r="E13" s="17"/>
      <c r="F13" s="17"/>
      <c r="G13" s="17"/>
      <c r="H13" s="17"/>
      <c r="I13" s="25"/>
      <c r="J13" s="25"/>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c r="DO13" s="17"/>
      <c r="DP13" s="17"/>
      <c r="DQ13" s="17"/>
      <c r="DR13" s="17"/>
      <c r="DS13" s="17"/>
      <c r="DT13" s="17"/>
      <c r="DU13" s="17"/>
      <c r="DV13" s="17"/>
      <c r="DW13" s="17"/>
      <c r="DX13" s="17"/>
      <c r="DY13" s="17"/>
      <c r="DZ13" s="17"/>
      <c r="EA13" s="17"/>
      <c r="EB13" s="17"/>
      <c r="EC13" s="17"/>
    </row>
    <row r="14" spans="1:133" x14ac:dyDescent="0.25">
      <c r="A14" s="17"/>
      <c r="B14" s="17"/>
      <c r="C14" s="17"/>
      <c r="D14" s="17"/>
      <c r="E14" s="17"/>
      <c r="F14" s="17"/>
      <c r="G14" s="17"/>
      <c r="H14" s="17"/>
      <c r="I14" s="25"/>
      <c r="J14" s="25"/>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c r="DO14" s="17"/>
      <c r="DP14" s="17"/>
      <c r="DQ14" s="17"/>
      <c r="DR14" s="17"/>
      <c r="DS14" s="17"/>
      <c r="DT14" s="17"/>
      <c r="DU14" s="17"/>
      <c r="DV14" s="17"/>
      <c r="DW14" s="17"/>
      <c r="DX14" s="17"/>
      <c r="DY14" s="17"/>
      <c r="DZ14" s="17"/>
      <c r="EA14" s="17"/>
      <c r="EB14" s="17"/>
      <c r="EC14" s="17"/>
    </row>
    <row r="15" spans="1:133" x14ac:dyDescent="0.25">
      <c r="A15" s="17"/>
      <c r="B15" s="17"/>
      <c r="C15" s="17"/>
      <c r="D15" s="17"/>
      <c r="E15" s="17"/>
      <c r="F15" s="17"/>
      <c r="G15" s="17"/>
      <c r="H15" s="17"/>
      <c r="I15" s="25"/>
      <c r="J15" s="25"/>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c r="DO15" s="17"/>
      <c r="DP15" s="17"/>
      <c r="DQ15" s="17"/>
      <c r="DR15" s="17"/>
      <c r="DS15" s="17"/>
      <c r="DT15" s="17"/>
      <c r="DU15" s="17"/>
      <c r="DV15" s="17"/>
      <c r="DW15" s="17"/>
      <c r="DX15" s="17"/>
      <c r="DY15" s="17"/>
      <c r="DZ15" s="17"/>
      <c r="EA15" s="17"/>
      <c r="EB15" s="17"/>
      <c r="EC15" s="17"/>
    </row>
    <row r="16" spans="1:133" x14ac:dyDescent="0.25">
      <c r="A16" s="17"/>
      <c r="B16" s="17"/>
      <c r="C16" s="17"/>
      <c r="D16" s="17"/>
      <c r="E16" s="17"/>
      <c r="F16" s="17"/>
      <c r="G16" s="17"/>
      <c r="H16" s="17"/>
      <c r="I16" s="25"/>
      <c r="J16" s="25"/>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c r="DO16" s="17"/>
      <c r="DP16" s="17"/>
      <c r="DQ16" s="17"/>
      <c r="DR16" s="17"/>
      <c r="DS16" s="17"/>
      <c r="DT16" s="17"/>
      <c r="DU16" s="17"/>
      <c r="DV16" s="17"/>
      <c r="DW16" s="17"/>
      <c r="DX16" s="17"/>
      <c r="DY16" s="17"/>
      <c r="DZ16" s="17"/>
      <c r="EA16" s="17"/>
      <c r="EB16" s="17"/>
      <c r="EC16" s="17"/>
    </row>
    <row r="17" spans="1:133" x14ac:dyDescent="0.25">
      <c r="A17" s="17"/>
      <c r="B17" s="17"/>
      <c r="C17" s="17"/>
      <c r="D17" s="17"/>
      <c r="E17" s="17"/>
      <c r="F17" s="17"/>
      <c r="G17" s="17"/>
      <c r="H17" s="17"/>
      <c r="I17" s="25"/>
      <c r="J17" s="25"/>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c r="DL17" s="17"/>
      <c r="DM17" s="17"/>
      <c r="DN17" s="17"/>
      <c r="DO17" s="17"/>
      <c r="DP17" s="17"/>
      <c r="DQ17" s="17"/>
      <c r="DR17" s="17"/>
      <c r="DS17" s="17"/>
      <c r="DT17" s="17"/>
      <c r="DU17" s="17"/>
      <c r="DV17" s="17"/>
      <c r="DW17" s="17"/>
      <c r="DX17" s="17"/>
      <c r="DY17" s="17"/>
      <c r="DZ17" s="17"/>
      <c r="EA17" s="17"/>
      <c r="EB17" s="17"/>
      <c r="EC17" s="17"/>
    </row>
    <row r="18" spans="1:133" x14ac:dyDescent="0.25">
      <c r="A18" s="17"/>
      <c r="B18" s="17"/>
      <c r="C18" s="17"/>
      <c r="D18" s="17"/>
      <c r="E18" s="17"/>
      <c r="F18" s="17"/>
      <c r="G18" s="17"/>
      <c r="H18" s="17"/>
      <c r="I18" s="25"/>
      <c r="J18" s="25"/>
      <c r="K18" s="17"/>
      <c r="L18" s="17"/>
      <c r="M18" s="17"/>
      <c r="N18" s="17"/>
      <c r="O18" s="17"/>
      <c r="P18" s="17"/>
      <c r="Q18" s="17"/>
      <c r="R18" s="17"/>
      <c r="S18" s="17"/>
      <c r="T18" s="17" t="s">
        <v>113</v>
      </c>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c r="DG18" s="17"/>
      <c r="DH18" s="17"/>
      <c r="DI18" s="17"/>
      <c r="DJ18" s="17"/>
      <c r="DK18" s="17"/>
      <c r="DL18" s="17"/>
      <c r="DM18" s="17"/>
      <c r="DN18" s="17"/>
      <c r="DO18" s="17"/>
      <c r="DP18" s="17"/>
      <c r="DQ18" s="17"/>
      <c r="DR18" s="17"/>
      <c r="DS18" s="17"/>
      <c r="DT18" s="17"/>
      <c r="DU18" s="17"/>
      <c r="DV18" s="17"/>
      <c r="DW18" s="17"/>
      <c r="DX18" s="17"/>
      <c r="DY18" s="17"/>
      <c r="DZ18" s="17"/>
      <c r="EA18" s="17"/>
      <c r="EB18" s="17"/>
      <c r="EC18" s="17"/>
    </row>
    <row r="19" spans="1:133" x14ac:dyDescent="0.25">
      <c r="A19" s="17"/>
      <c r="B19" s="17"/>
      <c r="C19" s="17"/>
      <c r="D19" s="17"/>
      <c r="E19" s="17"/>
      <c r="F19" s="17"/>
      <c r="G19" s="17"/>
      <c r="H19" s="17"/>
      <c r="I19" s="25"/>
      <c r="J19" s="25"/>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7"/>
      <c r="DD19" s="17"/>
      <c r="DE19" s="17"/>
      <c r="DF19" s="17"/>
      <c r="DG19" s="17"/>
      <c r="DH19" s="17"/>
      <c r="DI19" s="17"/>
      <c r="DJ19" s="17"/>
      <c r="DK19" s="17"/>
      <c r="DL19" s="17"/>
      <c r="DM19" s="17"/>
      <c r="DN19" s="17"/>
      <c r="DO19" s="17"/>
      <c r="DP19" s="17"/>
      <c r="DQ19" s="17"/>
      <c r="DR19" s="17"/>
      <c r="DS19" s="17"/>
      <c r="DT19" s="17"/>
      <c r="DU19" s="17"/>
      <c r="DV19" s="17"/>
      <c r="DW19" s="17"/>
      <c r="DX19" s="17"/>
      <c r="DY19" s="17"/>
      <c r="DZ19" s="17"/>
      <c r="EA19" s="17"/>
      <c r="EB19" s="17"/>
      <c r="EC19" s="17"/>
    </row>
    <row r="20" spans="1:133" x14ac:dyDescent="0.25">
      <c r="A20" s="17"/>
      <c r="B20" s="17"/>
      <c r="C20" s="17"/>
      <c r="D20" s="17"/>
      <c r="E20" s="17"/>
      <c r="F20" s="17"/>
      <c r="G20" s="17"/>
      <c r="H20" s="17"/>
      <c r="I20" s="25"/>
      <c r="J20" s="25"/>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c r="DG20" s="17"/>
      <c r="DH20" s="17"/>
      <c r="DI20" s="17"/>
      <c r="DJ20" s="17"/>
      <c r="DK20" s="17"/>
      <c r="DL20" s="17"/>
      <c r="DM20" s="17"/>
      <c r="DN20" s="17"/>
      <c r="DO20" s="17"/>
      <c r="DP20" s="17"/>
      <c r="DQ20" s="17"/>
      <c r="DR20" s="17"/>
      <c r="DS20" s="17"/>
      <c r="DT20" s="17"/>
      <c r="DU20" s="17"/>
      <c r="DV20" s="17"/>
      <c r="DW20" s="17"/>
      <c r="DX20" s="17"/>
      <c r="DY20" s="17"/>
      <c r="DZ20" s="17"/>
      <c r="EA20" s="17"/>
      <c r="EB20" s="17"/>
      <c r="EC20" s="17"/>
    </row>
    <row r="21" spans="1:133" x14ac:dyDescent="0.25">
      <c r="A21" s="17"/>
      <c r="B21" s="17"/>
      <c r="C21" s="17"/>
      <c r="D21" s="17"/>
      <c r="E21" s="17"/>
      <c r="F21" s="17"/>
      <c r="G21" s="17"/>
      <c r="H21" s="17"/>
      <c r="I21" s="25"/>
      <c r="J21" s="25"/>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c r="DL21" s="17"/>
      <c r="DM21" s="17"/>
      <c r="DN21" s="17"/>
      <c r="DO21" s="17"/>
      <c r="DP21" s="17"/>
      <c r="DQ21" s="17"/>
      <c r="DR21" s="17"/>
      <c r="DS21" s="17"/>
      <c r="DT21" s="17"/>
      <c r="DU21" s="17"/>
      <c r="DV21" s="17"/>
      <c r="DW21" s="17"/>
      <c r="DX21" s="17"/>
      <c r="DY21" s="17"/>
      <c r="DZ21" s="17"/>
      <c r="EA21" s="17"/>
      <c r="EB21" s="17"/>
      <c r="EC21" s="17"/>
    </row>
    <row r="22" spans="1:133" x14ac:dyDescent="0.25">
      <c r="A22" s="17"/>
      <c r="B22" s="17"/>
      <c r="C22" s="17"/>
      <c r="D22" s="17"/>
      <c r="E22" s="17"/>
      <c r="F22" s="17"/>
      <c r="G22" s="17"/>
      <c r="H22" s="17"/>
      <c r="I22" s="25"/>
      <c r="J22" s="25"/>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c r="DF22" s="17"/>
      <c r="DG22" s="17"/>
      <c r="DH22" s="17"/>
      <c r="DI22" s="17"/>
      <c r="DJ22" s="17"/>
      <c r="DK22" s="17"/>
      <c r="DL22" s="17"/>
      <c r="DM22" s="17"/>
      <c r="DN22" s="17"/>
      <c r="DO22" s="17"/>
      <c r="DP22" s="17"/>
      <c r="DQ22" s="17"/>
      <c r="DR22" s="17"/>
      <c r="DS22" s="17"/>
      <c r="DT22" s="17"/>
      <c r="DU22" s="17"/>
      <c r="DV22" s="17"/>
      <c r="DW22" s="17"/>
      <c r="DX22" s="17"/>
      <c r="DY22" s="17"/>
      <c r="DZ22" s="17"/>
      <c r="EA22" s="17"/>
      <c r="EB22" s="17"/>
      <c r="EC22" s="17"/>
    </row>
    <row r="23" spans="1:133" x14ac:dyDescent="0.25">
      <c r="A23" s="17"/>
      <c r="B23" s="17"/>
      <c r="C23" s="17"/>
      <c r="D23" s="17"/>
      <c r="E23" s="17"/>
      <c r="F23" s="17"/>
      <c r="G23" s="17"/>
      <c r="H23" s="17"/>
      <c r="I23" s="25"/>
      <c r="J23" s="25"/>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row>
    <row r="24" spans="1:133" x14ac:dyDescent="0.25">
      <c r="A24" s="17"/>
      <c r="B24" s="17"/>
      <c r="C24" s="17"/>
      <c r="D24" s="17"/>
      <c r="E24" s="17"/>
      <c r="F24" s="17"/>
      <c r="G24" s="17"/>
      <c r="H24" s="17"/>
      <c r="I24" s="25"/>
      <c r="J24" s="25"/>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c r="DJ24" s="17"/>
      <c r="DK24" s="17"/>
      <c r="DL24" s="17"/>
      <c r="DM24" s="17"/>
      <c r="DN24" s="17"/>
      <c r="DO24" s="17"/>
      <c r="DP24" s="17"/>
      <c r="DQ24" s="17"/>
      <c r="DR24" s="17"/>
      <c r="DS24" s="17"/>
      <c r="DT24" s="17"/>
      <c r="DU24" s="17"/>
      <c r="DV24" s="17"/>
      <c r="DW24" s="17"/>
      <c r="DX24" s="17"/>
      <c r="DY24" s="17"/>
      <c r="DZ24" s="17"/>
      <c r="EA24" s="17"/>
      <c r="EB24" s="17"/>
      <c r="EC24" s="17"/>
    </row>
    <row r="25" spans="1:133" x14ac:dyDescent="0.25">
      <c r="A25" s="17"/>
      <c r="B25" s="17"/>
      <c r="C25" s="17"/>
      <c r="D25" s="17"/>
      <c r="E25" s="17"/>
      <c r="F25" s="17"/>
      <c r="G25" s="17"/>
      <c r="H25" s="17"/>
      <c r="I25" s="25"/>
      <c r="J25" s="25"/>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7"/>
      <c r="DZ25" s="17"/>
      <c r="EA25" s="17"/>
      <c r="EB25" s="17"/>
      <c r="EC25" s="17"/>
    </row>
    <row r="26" spans="1:133" x14ac:dyDescent="0.25">
      <c r="A26" s="17"/>
      <c r="B26" s="17"/>
      <c r="C26" s="17"/>
      <c r="D26" s="17"/>
      <c r="E26" s="17"/>
      <c r="F26" s="17"/>
      <c r="G26" s="17"/>
      <c r="H26" s="17"/>
      <c r="I26" s="25"/>
      <c r="J26" s="25"/>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c r="CX26" s="17"/>
      <c r="CY26" s="17"/>
      <c r="CZ26" s="17"/>
      <c r="DA26" s="17"/>
      <c r="DB26" s="17"/>
      <c r="DC26" s="17"/>
      <c r="DD26" s="17"/>
      <c r="DE26" s="17"/>
      <c r="DF26" s="17"/>
      <c r="DG26" s="17"/>
      <c r="DH26" s="17"/>
      <c r="DI26" s="17"/>
      <c r="DJ26" s="17"/>
      <c r="DK26" s="17"/>
      <c r="DL26" s="17"/>
      <c r="DM26" s="17"/>
      <c r="DN26" s="17"/>
      <c r="DO26" s="17"/>
      <c r="DP26" s="17"/>
      <c r="DQ26" s="17"/>
      <c r="DR26" s="17"/>
      <c r="DS26" s="17"/>
      <c r="DT26" s="17"/>
      <c r="DU26" s="17"/>
      <c r="DV26" s="17"/>
      <c r="DW26" s="17"/>
      <c r="DX26" s="17"/>
      <c r="DY26" s="17"/>
      <c r="DZ26" s="17"/>
      <c r="EA26" s="17"/>
      <c r="EB26" s="17"/>
      <c r="EC26" s="17"/>
    </row>
    <row r="27" spans="1:133" x14ac:dyDescent="0.25">
      <c r="A27" s="17"/>
      <c r="B27" s="17"/>
      <c r="C27" s="17"/>
      <c r="D27" s="17"/>
      <c r="E27" s="17"/>
      <c r="F27" s="17"/>
      <c r="G27" s="17"/>
      <c r="H27" s="17"/>
      <c r="I27" s="25"/>
      <c r="J27" s="25"/>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c r="DF27" s="17"/>
      <c r="DG27" s="17"/>
      <c r="DH27" s="17"/>
      <c r="DI27" s="17"/>
      <c r="DJ27" s="17"/>
      <c r="DK27" s="17"/>
      <c r="DL27" s="17"/>
      <c r="DM27" s="17"/>
      <c r="DN27" s="17"/>
      <c r="DO27" s="17"/>
      <c r="DP27" s="17"/>
      <c r="DQ27" s="17"/>
      <c r="DR27" s="17"/>
      <c r="DS27" s="17"/>
      <c r="DT27" s="17"/>
      <c r="DU27" s="17"/>
      <c r="DV27" s="17"/>
      <c r="DW27" s="17"/>
      <c r="DX27" s="17"/>
      <c r="DY27" s="17"/>
      <c r="DZ27" s="17"/>
      <c r="EA27" s="17"/>
      <c r="EB27" s="17"/>
      <c r="EC27" s="17"/>
    </row>
    <row r="28" spans="1:133" x14ac:dyDescent="0.25">
      <c r="A28" s="17"/>
      <c r="B28" s="17"/>
      <c r="C28" s="17"/>
      <c r="D28" s="17"/>
      <c r="E28" s="17"/>
      <c r="F28" s="17"/>
      <c r="G28" s="17"/>
      <c r="H28" s="17"/>
      <c r="I28" s="25"/>
      <c r="J28" s="25"/>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c r="DF28" s="17"/>
      <c r="DG28" s="17"/>
      <c r="DH28" s="17"/>
      <c r="DI28" s="17"/>
      <c r="DJ28" s="17"/>
      <c r="DK28" s="17"/>
      <c r="DL28" s="17"/>
      <c r="DM28" s="17"/>
      <c r="DN28" s="17"/>
      <c r="DO28" s="17"/>
      <c r="DP28" s="17"/>
      <c r="DQ28" s="17"/>
      <c r="DR28" s="17"/>
      <c r="DS28" s="17"/>
      <c r="DT28" s="17"/>
      <c r="DU28" s="17"/>
      <c r="DV28" s="17"/>
      <c r="DW28" s="17"/>
      <c r="DX28" s="17"/>
      <c r="DY28" s="17"/>
      <c r="DZ28" s="17"/>
      <c r="EA28" s="17"/>
      <c r="EB28" s="17"/>
      <c r="EC28" s="17"/>
    </row>
    <row r="29" spans="1:133" x14ac:dyDescent="0.25">
      <c r="A29" s="17"/>
      <c r="B29" s="17"/>
      <c r="C29" s="17"/>
      <c r="D29" s="17"/>
      <c r="E29" s="17"/>
      <c r="F29" s="17"/>
      <c r="G29" s="17"/>
      <c r="H29" s="17"/>
      <c r="I29" s="25"/>
      <c r="J29" s="25"/>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c r="DO29" s="17"/>
      <c r="DP29" s="17"/>
      <c r="DQ29" s="17"/>
      <c r="DR29" s="17"/>
      <c r="DS29" s="17"/>
      <c r="DT29" s="17"/>
      <c r="DU29" s="17"/>
      <c r="DV29" s="17"/>
      <c r="DW29" s="17"/>
      <c r="DX29" s="17"/>
      <c r="DY29" s="17"/>
      <c r="DZ29" s="17"/>
      <c r="EA29" s="17"/>
      <c r="EB29" s="17"/>
      <c r="EC29" s="17"/>
    </row>
    <row r="30" spans="1:133" x14ac:dyDescent="0.25">
      <c r="A30" s="17"/>
      <c r="B30" s="17"/>
      <c r="C30" s="17"/>
      <c r="D30" s="17"/>
      <c r="E30" s="17"/>
      <c r="F30" s="17"/>
      <c r="G30" s="17"/>
      <c r="H30" s="17"/>
      <c r="I30" s="25"/>
      <c r="J30" s="25"/>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17"/>
      <c r="DF30" s="17"/>
      <c r="DG30" s="17"/>
      <c r="DH30" s="17"/>
      <c r="DI30" s="17"/>
      <c r="DJ30" s="17"/>
      <c r="DK30" s="17"/>
      <c r="DL30" s="17"/>
      <c r="DM30" s="17"/>
      <c r="DN30" s="17"/>
      <c r="DO30" s="17"/>
      <c r="DP30" s="17"/>
      <c r="DQ30" s="17"/>
      <c r="DR30" s="17"/>
      <c r="DS30" s="17"/>
      <c r="DT30" s="17"/>
      <c r="DU30" s="17"/>
      <c r="DV30" s="17"/>
      <c r="DW30" s="17"/>
      <c r="DX30" s="17"/>
      <c r="DY30" s="17"/>
      <c r="DZ30" s="17"/>
      <c r="EA30" s="17"/>
      <c r="EB30" s="17"/>
      <c r="EC30" s="17"/>
    </row>
    <row r="31" spans="1:133" x14ac:dyDescent="0.25">
      <c r="A31" s="17"/>
      <c r="B31" s="17"/>
      <c r="C31" s="17"/>
      <c r="D31" s="17"/>
      <c r="E31" s="17"/>
      <c r="F31" s="17"/>
      <c r="G31" s="17"/>
      <c r="H31" s="17"/>
      <c r="I31" s="25"/>
      <c r="J31" s="25"/>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7"/>
      <c r="DD31" s="17"/>
      <c r="DE31" s="17"/>
      <c r="DF31" s="17"/>
      <c r="DG31" s="17"/>
      <c r="DH31" s="17"/>
      <c r="DI31" s="17"/>
      <c r="DJ31" s="17"/>
      <c r="DK31" s="17"/>
      <c r="DL31" s="17"/>
      <c r="DM31" s="17"/>
      <c r="DN31" s="17"/>
      <c r="DO31" s="17"/>
      <c r="DP31" s="17"/>
      <c r="DQ31" s="17"/>
      <c r="DR31" s="17"/>
      <c r="DS31" s="17"/>
      <c r="DT31" s="17"/>
      <c r="DU31" s="17"/>
      <c r="DV31" s="17"/>
      <c r="DW31" s="17"/>
      <c r="DX31" s="17"/>
      <c r="DY31" s="17"/>
      <c r="DZ31" s="17"/>
      <c r="EA31" s="17"/>
      <c r="EB31" s="17"/>
      <c r="EC31" s="17"/>
    </row>
    <row r="32" spans="1:133" x14ac:dyDescent="0.25">
      <c r="A32" s="17"/>
      <c r="B32" s="17"/>
      <c r="C32" s="17"/>
      <c r="D32" s="17"/>
      <c r="E32" s="17"/>
      <c r="F32" s="17"/>
      <c r="G32" s="17"/>
      <c r="H32" s="17"/>
      <c r="I32" s="25"/>
      <c r="J32" s="25"/>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7"/>
      <c r="DE32" s="17"/>
      <c r="DF32" s="17"/>
      <c r="DG32" s="17"/>
      <c r="DH32" s="17"/>
      <c r="DI32" s="17"/>
      <c r="DJ32" s="17"/>
      <c r="DK32" s="17"/>
      <c r="DL32" s="17"/>
      <c r="DM32" s="17"/>
      <c r="DN32" s="17"/>
      <c r="DO32" s="17"/>
      <c r="DP32" s="17"/>
      <c r="DQ32" s="17"/>
      <c r="DR32" s="17"/>
      <c r="DS32" s="17"/>
      <c r="DT32" s="17"/>
      <c r="DU32" s="17"/>
      <c r="DV32" s="17"/>
      <c r="DW32" s="17"/>
      <c r="DX32" s="17"/>
      <c r="DY32" s="17"/>
      <c r="DZ32" s="17"/>
      <c r="EA32" s="17"/>
      <c r="EB32" s="17"/>
      <c r="EC32" s="17"/>
    </row>
    <row r="33" spans="1:133" x14ac:dyDescent="0.25">
      <c r="A33" s="17"/>
      <c r="B33" s="17"/>
      <c r="C33" s="17"/>
      <c r="D33" s="17"/>
      <c r="E33" s="17"/>
      <c r="F33" s="17"/>
      <c r="G33" s="17"/>
      <c r="H33" s="17"/>
      <c r="I33" s="25"/>
      <c r="J33" s="25"/>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17"/>
      <c r="DF33" s="17"/>
      <c r="DG33" s="17"/>
      <c r="DH33" s="17"/>
      <c r="DI33" s="17"/>
      <c r="DJ33" s="17"/>
      <c r="DK33" s="17"/>
      <c r="DL33" s="17"/>
      <c r="DM33" s="17"/>
      <c r="DN33" s="17"/>
      <c r="DO33" s="17"/>
      <c r="DP33" s="17"/>
      <c r="DQ33" s="17"/>
      <c r="DR33" s="17"/>
      <c r="DS33" s="17"/>
      <c r="DT33" s="17"/>
      <c r="DU33" s="17"/>
      <c r="DV33" s="17"/>
      <c r="DW33" s="17"/>
      <c r="DX33" s="17"/>
      <c r="DY33" s="17"/>
      <c r="DZ33" s="17"/>
      <c r="EA33" s="17"/>
      <c r="EB33" s="17"/>
      <c r="EC33" s="17"/>
    </row>
    <row r="34" spans="1:133" x14ac:dyDescent="0.25">
      <c r="A34" s="17"/>
      <c r="B34" s="17"/>
      <c r="C34" s="17"/>
      <c r="D34" s="17"/>
      <c r="E34" s="17"/>
      <c r="F34" s="17"/>
      <c r="G34" s="17"/>
      <c r="H34" s="17"/>
      <c r="I34" s="25"/>
      <c r="J34" s="25"/>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c r="CX34" s="17"/>
      <c r="CY34" s="17"/>
      <c r="CZ34" s="17"/>
      <c r="DA34" s="17"/>
      <c r="DB34" s="17"/>
      <c r="DC34" s="17"/>
      <c r="DD34" s="17"/>
      <c r="DE34" s="17"/>
      <c r="DF34" s="17"/>
      <c r="DG34" s="17"/>
      <c r="DH34" s="17"/>
      <c r="DI34" s="17"/>
      <c r="DJ34" s="17"/>
      <c r="DK34" s="17"/>
      <c r="DL34" s="17"/>
      <c r="DM34" s="17"/>
      <c r="DN34" s="17"/>
      <c r="DO34" s="17"/>
      <c r="DP34" s="17"/>
      <c r="DQ34" s="17"/>
      <c r="DR34" s="17"/>
      <c r="DS34" s="17"/>
      <c r="DT34" s="17"/>
      <c r="DU34" s="17"/>
      <c r="DV34" s="17"/>
      <c r="DW34" s="17"/>
      <c r="DX34" s="17"/>
      <c r="DY34" s="17"/>
      <c r="DZ34" s="17"/>
      <c r="EA34" s="17"/>
      <c r="EB34" s="17"/>
      <c r="EC34" s="17"/>
    </row>
    <row r="35" spans="1:133" x14ac:dyDescent="0.25">
      <c r="A35" s="17"/>
      <c r="B35" s="17"/>
      <c r="C35" s="17"/>
      <c r="D35" s="17"/>
      <c r="E35" s="17"/>
      <c r="F35" s="17"/>
      <c r="G35" s="17"/>
      <c r="H35" s="17"/>
      <c r="I35" s="25"/>
      <c r="J35" s="25"/>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7"/>
      <c r="DD35" s="17"/>
      <c r="DE35" s="17"/>
      <c r="DF35" s="17"/>
      <c r="DG35" s="17"/>
      <c r="DH35" s="17"/>
      <c r="DI35" s="17"/>
      <c r="DJ35" s="17"/>
      <c r="DK35" s="17"/>
      <c r="DL35" s="17"/>
      <c r="DM35" s="17"/>
      <c r="DN35" s="17"/>
      <c r="DO35" s="17"/>
      <c r="DP35" s="17"/>
      <c r="DQ35" s="17"/>
      <c r="DR35" s="17"/>
      <c r="DS35" s="17"/>
      <c r="DT35" s="17"/>
      <c r="DU35" s="17"/>
      <c r="DV35" s="17"/>
      <c r="DW35" s="17"/>
      <c r="DX35" s="17"/>
      <c r="DY35" s="17"/>
      <c r="DZ35" s="17"/>
      <c r="EA35" s="17"/>
      <c r="EB35" s="17"/>
      <c r="EC35" s="17"/>
    </row>
    <row r="36" spans="1:133" x14ac:dyDescent="0.25">
      <c r="A36" s="17"/>
      <c r="B36" s="17"/>
      <c r="C36" s="17"/>
      <c r="D36" s="17"/>
      <c r="E36" s="17"/>
      <c r="F36" s="17"/>
      <c r="G36" s="17"/>
      <c r="H36" s="17"/>
      <c r="I36" s="25"/>
      <c r="J36" s="25"/>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c r="DO36" s="17"/>
      <c r="DP36" s="17"/>
      <c r="DQ36" s="17"/>
      <c r="DR36" s="17"/>
      <c r="DS36" s="17"/>
      <c r="DT36" s="17"/>
      <c r="DU36" s="17"/>
      <c r="DV36" s="17"/>
      <c r="DW36" s="17"/>
      <c r="DX36" s="17"/>
      <c r="DY36" s="17"/>
      <c r="DZ36" s="17"/>
      <c r="EA36" s="17"/>
      <c r="EB36" s="17"/>
      <c r="EC36" s="17"/>
    </row>
    <row r="37" spans="1:133" x14ac:dyDescent="0.25">
      <c r="A37" s="17"/>
      <c r="B37" s="17"/>
      <c r="C37" s="17"/>
      <c r="D37" s="17"/>
      <c r="E37" s="17"/>
      <c r="F37" s="17"/>
      <c r="G37" s="17"/>
      <c r="H37" s="17"/>
      <c r="I37" s="25"/>
      <c r="J37" s="25"/>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c r="DO37" s="17"/>
      <c r="DP37" s="17"/>
      <c r="DQ37" s="17"/>
      <c r="DR37" s="17"/>
      <c r="DS37" s="17"/>
      <c r="DT37" s="17"/>
      <c r="DU37" s="17"/>
      <c r="DV37" s="17"/>
      <c r="DW37" s="17"/>
      <c r="DX37" s="17"/>
      <c r="DY37" s="17"/>
      <c r="DZ37" s="17"/>
      <c r="EA37" s="17"/>
      <c r="EB37" s="17"/>
      <c r="EC37" s="17"/>
    </row>
    <row r="38" spans="1:133" x14ac:dyDescent="0.25">
      <c r="A38" s="17"/>
      <c r="B38" s="17"/>
      <c r="C38" s="17"/>
      <c r="D38" s="17"/>
      <c r="E38" s="17"/>
      <c r="F38" s="17"/>
      <c r="G38" s="17"/>
      <c r="H38" s="17"/>
      <c r="I38" s="25"/>
      <c r="J38" s="25"/>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c r="EC38" s="17"/>
    </row>
    <row r="39" spans="1:133" x14ac:dyDescent="0.25">
      <c r="A39" s="17"/>
      <c r="B39" s="17"/>
      <c r="C39" s="17"/>
      <c r="D39" s="17"/>
      <c r="E39" s="17"/>
      <c r="F39" s="17"/>
      <c r="G39" s="17"/>
      <c r="H39" s="17"/>
      <c r="I39" s="24"/>
      <c r="J39" s="24"/>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row>
    <row r="40" spans="1:133" x14ac:dyDescent="0.25">
      <c r="A40" s="17"/>
      <c r="B40" s="17"/>
      <c r="C40" s="17"/>
      <c r="D40" s="17"/>
      <c r="E40" s="17"/>
      <c r="F40" s="17"/>
      <c r="G40" s="17"/>
      <c r="H40" s="17"/>
      <c r="I40" s="24"/>
      <c r="J40" s="24"/>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row>
    <row r="41" spans="1:133" x14ac:dyDescent="0.25">
      <c r="A41" s="17"/>
      <c r="B41" s="17"/>
      <c r="C41" s="17"/>
      <c r="D41" s="17"/>
      <c r="E41" s="17"/>
      <c r="F41" s="17"/>
      <c r="G41" s="17"/>
      <c r="H41" s="17"/>
      <c r="I41" s="24"/>
      <c r="J41" s="24"/>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row>
    <row r="42" spans="1:133" x14ac:dyDescent="0.25">
      <c r="A42" s="17"/>
      <c r="B42" s="17"/>
      <c r="C42" s="17"/>
      <c r="D42" s="17"/>
      <c r="E42" s="17"/>
      <c r="F42" s="17"/>
      <c r="G42" s="17"/>
      <c r="H42" s="17"/>
      <c r="I42" s="24"/>
      <c r="J42" s="24"/>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c r="DO42" s="17"/>
      <c r="DP42" s="17"/>
      <c r="DQ42" s="17"/>
      <c r="DR42" s="17"/>
      <c r="DS42" s="17"/>
      <c r="DT42" s="17"/>
      <c r="DU42" s="17"/>
      <c r="DV42" s="17"/>
      <c r="DW42" s="17"/>
      <c r="DX42" s="17"/>
      <c r="DY42" s="17"/>
      <c r="DZ42" s="17"/>
      <c r="EA42" s="17"/>
      <c r="EB42" s="17"/>
      <c r="EC42" s="17"/>
    </row>
    <row r="43" spans="1:133" x14ac:dyDescent="0.25">
      <c r="A43" s="17"/>
      <c r="B43" s="17"/>
      <c r="C43" s="17"/>
      <c r="D43" s="17"/>
      <c r="E43" s="17"/>
      <c r="F43" s="17"/>
      <c r="G43" s="17"/>
      <c r="H43" s="17"/>
      <c r="I43" s="24"/>
      <c r="J43" s="24"/>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c r="DO43" s="17"/>
      <c r="DP43" s="17"/>
      <c r="DQ43" s="17"/>
      <c r="DR43" s="17"/>
      <c r="DS43" s="17"/>
      <c r="DT43" s="17"/>
      <c r="DU43" s="17"/>
      <c r="DV43" s="17"/>
      <c r="DW43" s="17"/>
      <c r="DX43" s="17"/>
      <c r="DY43" s="17"/>
      <c r="DZ43" s="17"/>
      <c r="EA43" s="17"/>
      <c r="EB43" s="17"/>
      <c r="EC43" s="17"/>
    </row>
    <row r="44" spans="1:133" x14ac:dyDescent="0.25">
      <c r="A44" s="17"/>
      <c r="B44" s="17"/>
      <c r="C44" s="17"/>
      <c r="D44" s="17"/>
      <c r="E44" s="17"/>
      <c r="F44" s="17"/>
      <c r="G44" s="17"/>
      <c r="H44" s="17"/>
      <c r="I44" s="24"/>
      <c r="J44" s="24"/>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row>
    <row r="45" spans="1:133" x14ac:dyDescent="0.25">
      <c r="A45" s="17"/>
      <c r="B45" s="17"/>
      <c r="C45" s="17"/>
      <c r="D45" s="17"/>
      <c r="E45" s="17"/>
      <c r="F45" s="17"/>
      <c r="G45" s="17"/>
      <c r="H45" s="17"/>
      <c r="I45" s="24"/>
      <c r="J45" s="24"/>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row>
    <row r="46" spans="1:133" x14ac:dyDescent="0.25">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row>
    <row r="47" spans="1:133" x14ac:dyDescent="0.25">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row>
    <row r="48" spans="1:133" x14ac:dyDescent="0.25">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row>
    <row r="49" spans="1:133" x14ac:dyDescent="0.25">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row>
    <row r="50" spans="1:133" x14ac:dyDescent="0.25">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c r="DO50" s="17"/>
      <c r="DP50" s="17"/>
      <c r="DQ50" s="17"/>
      <c r="DR50" s="17"/>
      <c r="DS50" s="17"/>
      <c r="DT50" s="17"/>
      <c r="DU50" s="17"/>
      <c r="DV50" s="17"/>
      <c r="DW50" s="17"/>
      <c r="DX50" s="17"/>
      <c r="DY50" s="17"/>
      <c r="DZ50" s="17"/>
      <c r="EA50" s="17"/>
      <c r="EB50" s="17"/>
      <c r="EC50" s="17"/>
    </row>
    <row r="51" spans="1:133" x14ac:dyDescent="0.25">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c r="DO51" s="17"/>
      <c r="DP51" s="17"/>
      <c r="DQ51" s="17"/>
      <c r="DR51" s="17"/>
      <c r="DS51" s="17"/>
      <c r="DT51" s="17"/>
      <c r="DU51" s="17"/>
      <c r="DV51" s="17"/>
      <c r="DW51" s="17"/>
      <c r="DX51" s="17"/>
      <c r="DY51" s="17"/>
      <c r="DZ51" s="17"/>
      <c r="EA51" s="17"/>
      <c r="EB51" s="17"/>
      <c r="EC51" s="17"/>
    </row>
    <row r="52" spans="1:133" x14ac:dyDescent="0.25">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row>
    <row r="53" spans="1:133" x14ac:dyDescent="0.25">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row>
    <row r="54" spans="1:133" x14ac:dyDescent="0.25">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row>
    <row r="55" spans="1:133" x14ac:dyDescent="0.2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row>
    <row r="56" spans="1:133" x14ac:dyDescent="0.25">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row>
    <row r="57" spans="1:133" x14ac:dyDescent="0.25">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row>
    <row r="58" spans="1:133" x14ac:dyDescent="0.25">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c r="DO58" s="17"/>
      <c r="DP58" s="17"/>
      <c r="DQ58" s="17"/>
      <c r="DR58" s="17"/>
      <c r="DS58" s="17"/>
      <c r="DT58" s="17"/>
      <c r="DU58" s="17"/>
      <c r="DV58" s="17"/>
      <c r="DW58" s="17"/>
      <c r="DX58" s="17"/>
      <c r="DY58" s="17"/>
      <c r="DZ58" s="17"/>
      <c r="EA58" s="17"/>
      <c r="EB58" s="17"/>
      <c r="EC58" s="17"/>
    </row>
    <row r="59" spans="1:133" x14ac:dyDescent="0.25">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7"/>
      <c r="CI59" s="17"/>
      <c r="CJ59" s="17"/>
      <c r="CK59" s="17"/>
      <c r="CL59" s="17"/>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c r="DO59" s="17"/>
      <c r="DP59" s="17"/>
      <c r="DQ59" s="17"/>
      <c r="DR59" s="17"/>
      <c r="DS59" s="17"/>
      <c r="DT59" s="17"/>
      <c r="DU59" s="17"/>
      <c r="DV59" s="17"/>
      <c r="DW59" s="17"/>
      <c r="DX59" s="17"/>
      <c r="DY59" s="17"/>
      <c r="DZ59" s="17"/>
      <c r="EA59" s="17"/>
      <c r="EB59" s="17"/>
      <c r="EC59" s="17"/>
    </row>
    <row r="60" spans="1:133" x14ac:dyDescent="0.25">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c r="DO60" s="17"/>
      <c r="DP60" s="17"/>
      <c r="DQ60" s="17"/>
      <c r="DR60" s="17"/>
      <c r="DS60" s="17"/>
      <c r="DT60" s="17"/>
      <c r="DU60" s="17"/>
      <c r="DV60" s="17"/>
      <c r="DW60" s="17"/>
      <c r="DX60" s="17"/>
      <c r="DY60" s="17"/>
      <c r="DZ60" s="17"/>
      <c r="EA60" s="17"/>
      <c r="EB60" s="17"/>
      <c r="EC60" s="17"/>
    </row>
    <row r="61" spans="1:133" x14ac:dyDescent="0.25">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row>
    <row r="62" spans="1:133" x14ac:dyDescent="0.25">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c r="DO62" s="17"/>
      <c r="DP62" s="17"/>
      <c r="DQ62" s="17"/>
      <c r="DR62" s="17"/>
      <c r="DS62" s="17"/>
      <c r="DT62" s="17"/>
      <c r="DU62" s="17"/>
      <c r="DV62" s="17"/>
      <c r="DW62" s="17"/>
      <c r="DX62" s="17"/>
      <c r="DY62" s="17"/>
      <c r="DZ62" s="17"/>
      <c r="EA62" s="17"/>
      <c r="EB62" s="17"/>
      <c r="EC62" s="17"/>
    </row>
    <row r="63" spans="1:133" x14ac:dyDescent="0.25">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row>
    <row r="64" spans="1:133" x14ac:dyDescent="0.25">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7"/>
      <c r="EC64" s="17"/>
    </row>
    <row r="65" spans="1:133" x14ac:dyDescent="0.2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row>
    <row r="66" spans="1:133" x14ac:dyDescent="0.25">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c r="DO66" s="17"/>
      <c r="DP66" s="17"/>
      <c r="DQ66" s="17"/>
      <c r="DR66" s="17"/>
      <c r="DS66" s="17"/>
      <c r="DT66" s="17"/>
      <c r="DU66" s="17"/>
      <c r="DV66" s="17"/>
      <c r="DW66" s="17"/>
      <c r="DX66" s="17"/>
      <c r="DY66" s="17"/>
      <c r="DZ66" s="17"/>
      <c r="EA66" s="17"/>
      <c r="EB66" s="17"/>
      <c r="EC66" s="17"/>
    </row>
    <row r="67" spans="1:133" x14ac:dyDescent="0.25">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c r="DO67" s="17"/>
      <c r="DP67" s="17"/>
      <c r="DQ67" s="17"/>
      <c r="DR67" s="17"/>
      <c r="DS67" s="17"/>
      <c r="DT67" s="17"/>
      <c r="DU67" s="17"/>
      <c r="DV67" s="17"/>
      <c r="DW67" s="17"/>
      <c r="DX67" s="17"/>
      <c r="DY67" s="17"/>
      <c r="DZ67" s="17"/>
      <c r="EA67" s="17"/>
      <c r="EB67" s="17"/>
      <c r="EC67" s="17"/>
    </row>
    <row r="68" spans="1:133" x14ac:dyDescent="0.25">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c r="DL68" s="17"/>
      <c r="DM68" s="17"/>
      <c r="DN68" s="17"/>
      <c r="DO68" s="17"/>
      <c r="DP68" s="17"/>
      <c r="DQ68" s="17"/>
      <c r="DR68" s="17"/>
      <c r="DS68" s="17"/>
      <c r="DT68" s="17"/>
      <c r="DU68" s="17"/>
      <c r="DV68" s="17"/>
      <c r="DW68" s="17"/>
      <c r="DX68" s="17"/>
      <c r="DY68" s="17"/>
      <c r="DZ68" s="17"/>
      <c r="EA68" s="17"/>
      <c r="EB68" s="17"/>
      <c r="EC68" s="17"/>
    </row>
    <row r="69" spans="1:133" x14ac:dyDescent="0.25">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c r="CX69" s="17"/>
      <c r="CY69" s="17"/>
      <c r="CZ69" s="17"/>
      <c r="DA69" s="17"/>
      <c r="DB69" s="17"/>
      <c r="DC69" s="17"/>
      <c r="DD69" s="17"/>
      <c r="DE69" s="17"/>
      <c r="DF69" s="17"/>
      <c r="DG69" s="17"/>
      <c r="DH69" s="17"/>
      <c r="DI69" s="17"/>
      <c r="DJ69" s="17"/>
      <c r="DK69" s="17"/>
      <c r="DL69" s="17"/>
      <c r="DM69" s="17"/>
      <c r="DN69" s="17"/>
      <c r="DO69" s="17"/>
      <c r="DP69" s="17"/>
      <c r="DQ69" s="17"/>
      <c r="DR69" s="17"/>
      <c r="DS69" s="17"/>
      <c r="DT69" s="17"/>
      <c r="DU69" s="17"/>
      <c r="DV69" s="17"/>
      <c r="DW69" s="17"/>
      <c r="DX69" s="17"/>
      <c r="DY69" s="17"/>
      <c r="DZ69" s="17"/>
      <c r="EA69" s="17"/>
      <c r="EB69" s="17"/>
      <c r="EC69" s="17"/>
    </row>
    <row r="70" spans="1:133" x14ac:dyDescent="0.25">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c r="CO70" s="17"/>
      <c r="CP70" s="17"/>
      <c r="CQ70" s="17"/>
      <c r="CR70" s="17"/>
      <c r="CS70" s="17"/>
      <c r="CT70" s="17"/>
      <c r="CU70" s="17"/>
      <c r="CV70" s="17"/>
      <c r="CW70" s="17"/>
      <c r="CX70" s="17"/>
      <c r="CY70" s="17"/>
      <c r="CZ70" s="17"/>
      <c r="DA70" s="17"/>
      <c r="DB70" s="17"/>
      <c r="DC70" s="17"/>
      <c r="DD70" s="17"/>
      <c r="DE70" s="17"/>
      <c r="DF70" s="17"/>
      <c r="DG70" s="17"/>
      <c r="DH70" s="17"/>
      <c r="DI70" s="17"/>
      <c r="DJ70" s="17"/>
      <c r="DK70" s="17"/>
      <c r="DL70" s="17"/>
      <c r="DM70" s="17"/>
      <c r="DN70" s="17"/>
      <c r="DO70" s="17"/>
      <c r="DP70" s="17"/>
      <c r="DQ70" s="17"/>
      <c r="DR70" s="17"/>
      <c r="DS70" s="17"/>
      <c r="DT70" s="17"/>
      <c r="DU70" s="17"/>
      <c r="DV70" s="17"/>
      <c r="DW70" s="17"/>
      <c r="DX70" s="17"/>
      <c r="DY70" s="17"/>
      <c r="DZ70" s="17"/>
      <c r="EA70" s="17"/>
      <c r="EB70" s="17"/>
      <c r="EC70" s="17"/>
    </row>
    <row r="71" spans="1:133" x14ac:dyDescent="0.25">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7"/>
      <c r="CI71" s="17"/>
      <c r="CJ71" s="17"/>
      <c r="CK71" s="17"/>
      <c r="CL71" s="17"/>
      <c r="CM71" s="17"/>
      <c r="CN71" s="17"/>
      <c r="CO71" s="17"/>
      <c r="CP71" s="17"/>
      <c r="CQ71" s="17"/>
      <c r="CR71" s="17"/>
      <c r="CS71" s="17"/>
      <c r="CT71" s="17"/>
      <c r="CU71" s="17"/>
      <c r="CV71" s="17"/>
      <c r="CW71" s="17"/>
      <c r="CX71" s="17"/>
      <c r="CY71" s="17"/>
      <c r="CZ71" s="17"/>
      <c r="DA71" s="17"/>
      <c r="DB71" s="17"/>
      <c r="DC71" s="17"/>
      <c r="DD71" s="17"/>
      <c r="DE71" s="17"/>
      <c r="DF71" s="17"/>
      <c r="DG71" s="17"/>
      <c r="DH71" s="17"/>
      <c r="DI71" s="17"/>
      <c r="DJ71" s="17"/>
      <c r="DK71" s="17"/>
      <c r="DL71" s="17"/>
      <c r="DM71" s="17"/>
      <c r="DN71" s="17"/>
      <c r="DO71" s="17"/>
      <c r="DP71" s="17"/>
      <c r="DQ71" s="17"/>
      <c r="DR71" s="17"/>
      <c r="DS71" s="17"/>
      <c r="DT71" s="17"/>
      <c r="DU71" s="17"/>
      <c r="DV71" s="17"/>
      <c r="DW71" s="17"/>
      <c r="DX71" s="17"/>
      <c r="DY71" s="17"/>
      <c r="DZ71" s="17"/>
      <c r="EA71" s="17"/>
      <c r="EB71" s="17"/>
      <c r="EC71" s="17"/>
    </row>
    <row r="72" spans="1:133" x14ac:dyDescent="0.25">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c r="CM72" s="17"/>
      <c r="CN72" s="17"/>
      <c r="CO72" s="17"/>
      <c r="CP72" s="17"/>
      <c r="CQ72" s="17"/>
      <c r="CR72" s="17"/>
      <c r="CS72" s="17"/>
      <c r="CT72" s="17"/>
      <c r="CU72" s="17"/>
      <c r="CV72" s="17"/>
      <c r="CW72" s="17"/>
      <c r="CX72" s="17"/>
      <c r="CY72" s="17"/>
      <c r="CZ72" s="17"/>
      <c r="DA72" s="17"/>
      <c r="DB72" s="17"/>
      <c r="DC72" s="17"/>
      <c r="DD72" s="17"/>
      <c r="DE72" s="17"/>
      <c r="DF72" s="17"/>
      <c r="DG72" s="17"/>
      <c r="DH72" s="17"/>
      <c r="DI72" s="17"/>
      <c r="DJ72" s="17"/>
      <c r="DK72" s="17"/>
      <c r="DL72" s="17"/>
      <c r="DM72" s="17"/>
      <c r="DN72" s="17"/>
      <c r="DO72" s="17"/>
      <c r="DP72" s="17"/>
      <c r="DQ72" s="17"/>
      <c r="DR72" s="17"/>
      <c r="DS72" s="17"/>
      <c r="DT72" s="17"/>
      <c r="DU72" s="17"/>
      <c r="DV72" s="17"/>
      <c r="DW72" s="17"/>
      <c r="DX72" s="17"/>
      <c r="DY72" s="17"/>
      <c r="DZ72" s="17"/>
      <c r="EA72" s="17"/>
      <c r="EB72" s="17"/>
      <c r="EC72" s="17"/>
    </row>
    <row r="73" spans="1:133" x14ac:dyDescent="0.25">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7"/>
      <c r="CI73" s="17"/>
      <c r="CJ73" s="17"/>
      <c r="CK73" s="17"/>
      <c r="CL73" s="17"/>
      <c r="CM73" s="17"/>
      <c r="CN73" s="17"/>
      <c r="CO73" s="17"/>
      <c r="CP73" s="17"/>
      <c r="CQ73" s="17"/>
      <c r="CR73" s="17"/>
      <c r="CS73" s="17"/>
      <c r="CT73" s="17"/>
      <c r="CU73" s="17"/>
      <c r="CV73" s="17"/>
      <c r="CW73" s="17"/>
      <c r="CX73" s="17"/>
      <c r="CY73" s="17"/>
      <c r="CZ73" s="17"/>
      <c r="DA73" s="17"/>
      <c r="DB73" s="17"/>
      <c r="DC73" s="17"/>
      <c r="DD73" s="17"/>
      <c r="DE73" s="17"/>
      <c r="DF73" s="17"/>
      <c r="DG73" s="17"/>
      <c r="DH73" s="17"/>
      <c r="DI73" s="17"/>
      <c r="DJ73" s="17"/>
      <c r="DK73" s="17"/>
      <c r="DL73" s="17"/>
      <c r="DM73" s="17"/>
      <c r="DN73" s="17"/>
      <c r="DO73" s="17"/>
      <c r="DP73" s="17"/>
      <c r="DQ73" s="17"/>
      <c r="DR73" s="17"/>
      <c r="DS73" s="17"/>
      <c r="DT73" s="17"/>
      <c r="DU73" s="17"/>
      <c r="DV73" s="17"/>
      <c r="DW73" s="17"/>
      <c r="DX73" s="17"/>
      <c r="DY73" s="17"/>
      <c r="DZ73" s="17"/>
      <c r="EA73" s="17"/>
      <c r="EB73" s="17"/>
      <c r="EC73" s="17"/>
    </row>
    <row r="74" spans="1:133" x14ac:dyDescent="0.25">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c r="CL74" s="17"/>
      <c r="CM74" s="17"/>
      <c r="CN74" s="17"/>
      <c r="CO74" s="17"/>
      <c r="CP74" s="17"/>
      <c r="CQ74" s="17"/>
      <c r="CR74" s="17"/>
      <c r="CS74" s="17"/>
      <c r="CT74" s="17"/>
      <c r="CU74" s="17"/>
      <c r="CV74" s="17"/>
      <c r="CW74" s="17"/>
      <c r="CX74" s="17"/>
      <c r="CY74" s="17"/>
      <c r="CZ74" s="17"/>
      <c r="DA74" s="17"/>
      <c r="DB74" s="17"/>
      <c r="DC74" s="17"/>
      <c r="DD74" s="17"/>
      <c r="DE74" s="17"/>
      <c r="DF74" s="17"/>
      <c r="DG74" s="17"/>
      <c r="DH74" s="17"/>
      <c r="DI74" s="17"/>
      <c r="DJ74" s="17"/>
      <c r="DK74" s="17"/>
      <c r="DL74" s="17"/>
      <c r="DM74" s="17"/>
      <c r="DN74" s="17"/>
      <c r="DO74" s="17"/>
      <c r="DP74" s="17"/>
      <c r="DQ74" s="17"/>
      <c r="DR74" s="17"/>
      <c r="DS74" s="17"/>
      <c r="DT74" s="17"/>
      <c r="DU74" s="17"/>
      <c r="DV74" s="17"/>
      <c r="DW74" s="17"/>
      <c r="DX74" s="17"/>
      <c r="DY74" s="17"/>
      <c r="DZ74" s="17"/>
      <c r="EA74" s="17"/>
      <c r="EB74" s="17"/>
      <c r="EC74" s="17"/>
    </row>
    <row r="75" spans="1:133" x14ac:dyDescent="0.2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c r="DO75" s="17"/>
      <c r="DP75" s="17"/>
      <c r="DQ75" s="17"/>
      <c r="DR75" s="17"/>
      <c r="DS75" s="17"/>
      <c r="DT75" s="17"/>
      <c r="DU75" s="17"/>
      <c r="DV75" s="17"/>
      <c r="DW75" s="17"/>
      <c r="DX75" s="17"/>
      <c r="DY75" s="17"/>
      <c r="DZ75" s="17"/>
      <c r="EA75" s="17"/>
      <c r="EB75" s="17"/>
      <c r="EC75" s="17"/>
    </row>
    <row r="76" spans="1:133" x14ac:dyDescent="0.25">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c r="DO76" s="17"/>
      <c r="DP76" s="17"/>
      <c r="DQ76" s="17"/>
      <c r="DR76" s="17"/>
      <c r="DS76" s="17"/>
      <c r="DT76" s="17"/>
      <c r="DU76" s="17"/>
      <c r="DV76" s="17"/>
      <c r="DW76" s="17"/>
      <c r="DX76" s="17"/>
      <c r="DY76" s="17"/>
      <c r="DZ76" s="17"/>
      <c r="EA76" s="17"/>
      <c r="EB76" s="17"/>
      <c r="EC76" s="17"/>
    </row>
    <row r="77" spans="1:133" x14ac:dyDescent="0.2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c r="DO77" s="17"/>
      <c r="DP77" s="17"/>
      <c r="DQ77" s="17"/>
      <c r="DR77" s="17"/>
      <c r="DS77" s="17"/>
      <c r="DT77" s="17"/>
      <c r="DU77" s="17"/>
      <c r="DV77" s="17"/>
      <c r="DW77" s="17"/>
      <c r="DX77" s="17"/>
      <c r="DY77" s="17"/>
      <c r="DZ77" s="17"/>
      <c r="EA77" s="17"/>
      <c r="EB77" s="17"/>
      <c r="EC77" s="17"/>
    </row>
    <row r="78" spans="1:133" x14ac:dyDescent="0.25">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c r="DL78" s="17"/>
      <c r="DM78" s="17"/>
      <c r="DN78" s="17"/>
      <c r="DO78" s="17"/>
      <c r="DP78" s="17"/>
      <c r="DQ78" s="17"/>
      <c r="DR78" s="17"/>
      <c r="DS78" s="17"/>
      <c r="DT78" s="17"/>
      <c r="DU78" s="17"/>
      <c r="DV78" s="17"/>
      <c r="DW78" s="17"/>
      <c r="DX78" s="17"/>
      <c r="DY78" s="17"/>
      <c r="DZ78" s="17"/>
      <c r="EA78" s="17"/>
      <c r="EB78" s="17"/>
      <c r="EC78" s="17"/>
    </row>
    <row r="79" spans="1:133" x14ac:dyDescent="0.25">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c r="CO79" s="17"/>
      <c r="CP79" s="17"/>
      <c r="CQ79" s="17"/>
      <c r="CR79" s="17"/>
      <c r="CS79" s="17"/>
      <c r="CT79" s="17"/>
      <c r="CU79" s="17"/>
      <c r="CV79" s="17"/>
      <c r="CW79" s="17"/>
      <c r="CX79" s="17"/>
      <c r="CY79" s="17"/>
      <c r="CZ79" s="17"/>
      <c r="DA79" s="17"/>
      <c r="DB79" s="17"/>
      <c r="DC79" s="17"/>
      <c r="DD79" s="17"/>
      <c r="DE79" s="17"/>
      <c r="DF79" s="17"/>
      <c r="DG79" s="17"/>
      <c r="DH79" s="17"/>
      <c r="DI79" s="17"/>
      <c r="DJ79" s="17"/>
      <c r="DK79" s="17"/>
      <c r="DL79" s="17"/>
      <c r="DM79" s="17"/>
      <c r="DN79" s="17"/>
      <c r="DO79" s="17"/>
      <c r="DP79" s="17"/>
      <c r="DQ79" s="17"/>
      <c r="DR79" s="17"/>
      <c r="DS79" s="17"/>
      <c r="DT79" s="17"/>
      <c r="DU79" s="17"/>
      <c r="DV79" s="17"/>
      <c r="DW79" s="17"/>
      <c r="DX79" s="17"/>
      <c r="DY79" s="17"/>
      <c r="DZ79" s="17"/>
      <c r="EA79" s="17"/>
      <c r="EB79" s="17"/>
      <c r="EC79" s="17"/>
    </row>
    <row r="80" spans="1:133" x14ac:dyDescent="0.25">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c r="CK80" s="17"/>
      <c r="CL80" s="17"/>
      <c r="CM80" s="17"/>
      <c r="CN80" s="17"/>
      <c r="CO80" s="17"/>
      <c r="CP80" s="17"/>
      <c r="CQ80" s="17"/>
      <c r="CR80" s="17"/>
      <c r="CS80" s="17"/>
      <c r="CT80" s="17"/>
      <c r="CU80" s="17"/>
      <c r="CV80" s="17"/>
      <c r="CW80" s="17"/>
      <c r="CX80" s="17"/>
      <c r="CY80" s="17"/>
      <c r="CZ80" s="17"/>
      <c r="DA80" s="17"/>
      <c r="DB80" s="17"/>
      <c r="DC80" s="17"/>
      <c r="DD80" s="17"/>
      <c r="DE80" s="17"/>
      <c r="DF80" s="17"/>
      <c r="DG80" s="17"/>
      <c r="DH80" s="17"/>
      <c r="DI80" s="17"/>
      <c r="DJ80" s="17"/>
      <c r="DK80" s="17"/>
      <c r="DL80" s="17"/>
      <c r="DM80" s="17"/>
      <c r="DN80" s="17"/>
      <c r="DO80" s="17"/>
      <c r="DP80" s="17"/>
      <c r="DQ80" s="17"/>
      <c r="DR80" s="17"/>
      <c r="DS80" s="17"/>
      <c r="DT80" s="17"/>
      <c r="DU80" s="17"/>
      <c r="DV80" s="17"/>
      <c r="DW80" s="17"/>
      <c r="DX80" s="17"/>
      <c r="DY80" s="17"/>
      <c r="DZ80" s="17"/>
      <c r="EA80" s="17"/>
      <c r="EB80" s="17"/>
      <c r="EC80" s="17"/>
    </row>
    <row r="81" spans="1:133" x14ac:dyDescent="0.25">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c r="CO81" s="17"/>
      <c r="CP81" s="17"/>
      <c r="CQ81" s="17"/>
      <c r="CR81" s="17"/>
      <c r="CS81" s="17"/>
      <c r="CT81" s="17"/>
      <c r="CU81" s="17"/>
      <c r="CV81" s="17"/>
      <c r="CW81" s="17"/>
      <c r="CX81" s="17"/>
      <c r="CY81" s="17"/>
      <c r="CZ81" s="17"/>
      <c r="DA81" s="17"/>
      <c r="DB81" s="17"/>
      <c r="DC81" s="17"/>
      <c r="DD81" s="17"/>
      <c r="DE81" s="17"/>
      <c r="DF81" s="17"/>
      <c r="DG81" s="17"/>
      <c r="DH81" s="17"/>
      <c r="DI81" s="17"/>
      <c r="DJ81" s="17"/>
      <c r="DK81" s="17"/>
      <c r="DL81" s="17"/>
      <c r="DM81" s="17"/>
      <c r="DN81" s="17"/>
      <c r="DO81" s="17"/>
      <c r="DP81" s="17"/>
      <c r="DQ81" s="17"/>
      <c r="DR81" s="17"/>
      <c r="DS81" s="17"/>
      <c r="DT81" s="17"/>
      <c r="DU81" s="17"/>
      <c r="DV81" s="17"/>
      <c r="DW81" s="17"/>
      <c r="DX81" s="17"/>
      <c r="DY81" s="17"/>
      <c r="DZ81" s="17"/>
      <c r="EA81" s="17"/>
      <c r="EB81" s="17"/>
      <c r="EC81" s="17"/>
    </row>
    <row r="82" spans="1:133" x14ac:dyDescent="0.25">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c r="BT82" s="17"/>
      <c r="BU82" s="17"/>
      <c r="BV82" s="17"/>
      <c r="BW82" s="17"/>
      <c r="BX82" s="17"/>
      <c r="BY82" s="17"/>
      <c r="BZ82" s="17"/>
      <c r="CA82" s="17"/>
      <c r="CB82" s="17"/>
      <c r="CC82" s="17"/>
      <c r="CD82" s="17"/>
      <c r="CE82" s="17"/>
      <c r="CF82" s="17"/>
      <c r="CG82" s="17"/>
      <c r="CH82" s="17"/>
      <c r="CI82" s="17"/>
      <c r="CJ82" s="17"/>
      <c r="CK82" s="17"/>
      <c r="CL82" s="17"/>
      <c r="CM82" s="17"/>
      <c r="CN82" s="17"/>
      <c r="CO82" s="17"/>
      <c r="CP82" s="17"/>
      <c r="CQ82" s="17"/>
      <c r="CR82" s="17"/>
      <c r="CS82" s="17"/>
      <c r="CT82" s="17"/>
      <c r="CU82" s="17"/>
      <c r="CV82" s="17"/>
      <c r="CW82" s="17"/>
      <c r="CX82" s="17"/>
      <c r="CY82" s="17"/>
      <c r="CZ82" s="17"/>
      <c r="DA82" s="17"/>
      <c r="DB82" s="17"/>
      <c r="DC82" s="17"/>
      <c r="DD82" s="17"/>
      <c r="DE82" s="17"/>
      <c r="DF82" s="17"/>
      <c r="DG82" s="17"/>
      <c r="DH82" s="17"/>
      <c r="DI82" s="17"/>
      <c r="DJ82" s="17"/>
      <c r="DK82" s="17"/>
      <c r="DL82" s="17"/>
      <c r="DM82" s="17"/>
      <c r="DN82" s="17"/>
      <c r="DO82" s="17"/>
      <c r="DP82" s="17"/>
      <c r="DQ82" s="17"/>
      <c r="DR82" s="17"/>
      <c r="DS82" s="17"/>
      <c r="DT82" s="17"/>
      <c r="DU82" s="17"/>
      <c r="DV82" s="17"/>
      <c r="DW82" s="17"/>
      <c r="DX82" s="17"/>
      <c r="DY82" s="17"/>
      <c r="DZ82" s="17"/>
      <c r="EA82" s="17"/>
      <c r="EB82" s="17"/>
      <c r="EC82" s="17"/>
    </row>
    <row r="83" spans="1:133" x14ac:dyDescent="0.25">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c r="CF83" s="17"/>
      <c r="CG83" s="17"/>
      <c r="CH83" s="17"/>
      <c r="CI83" s="17"/>
      <c r="CJ83" s="17"/>
      <c r="CK83" s="17"/>
      <c r="CL83" s="17"/>
      <c r="CM83" s="17"/>
      <c r="CN83" s="17"/>
      <c r="CO83" s="17"/>
      <c r="CP83" s="17"/>
      <c r="CQ83" s="17"/>
      <c r="CR83" s="17"/>
      <c r="CS83" s="17"/>
      <c r="CT83" s="17"/>
      <c r="CU83" s="17"/>
      <c r="CV83" s="17"/>
      <c r="CW83" s="17"/>
      <c r="CX83" s="17"/>
      <c r="CY83" s="17"/>
      <c r="CZ83" s="17"/>
      <c r="DA83" s="17"/>
      <c r="DB83" s="17"/>
      <c r="DC83" s="17"/>
      <c r="DD83" s="17"/>
      <c r="DE83" s="17"/>
      <c r="DF83" s="17"/>
      <c r="DG83" s="17"/>
      <c r="DH83" s="17"/>
      <c r="DI83" s="17"/>
      <c r="DJ83" s="17"/>
      <c r="DK83" s="17"/>
      <c r="DL83" s="17"/>
      <c r="DM83" s="17"/>
      <c r="DN83" s="17"/>
      <c r="DO83" s="17"/>
      <c r="DP83" s="17"/>
      <c r="DQ83" s="17"/>
      <c r="DR83" s="17"/>
      <c r="DS83" s="17"/>
      <c r="DT83" s="17"/>
      <c r="DU83" s="17"/>
      <c r="DV83" s="17"/>
      <c r="DW83" s="17"/>
      <c r="DX83" s="17"/>
      <c r="DY83" s="17"/>
      <c r="DZ83" s="17"/>
      <c r="EA83" s="17"/>
      <c r="EB83" s="17"/>
      <c r="EC83" s="17"/>
    </row>
    <row r="84" spans="1:133" x14ac:dyDescent="0.25">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c r="CL84" s="17"/>
      <c r="CM84" s="17"/>
      <c r="CN84" s="17"/>
      <c r="CO84" s="17"/>
      <c r="CP84" s="17"/>
      <c r="CQ84" s="17"/>
      <c r="CR84" s="17"/>
      <c r="CS84" s="17"/>
      <c r="CT84" s="17"/>
      <c r="CU84" s="17"/>
      <c r="CV84" s="17"/>
      <c r="CW84" s="17"/>
      <c r="CX84" s="17"/>
      <c r="CY84" s="17"/>
      <c r="CZ84" s="17"/>
      <c r="DA84" s="17"/>
      <c r="DB84" s="17"/>
      <c r="DC84" s="17"/>
      <c r="DD84" s="17"/>
      <c r="DE84" s="17"/>
      <c r="DF84" s="17"/>
      <c r="DG84" s="17"/>
      <c r="DH84" s="17"/>
      <c r="DI84" s="17"/>
      <c r="DJ84" s="17"/>
      <c r="DK84" s="17"/>
      <c r="DL84" s="17"/>
      <c r="DM84" s="17"/>
      <c r="DN84" s="17"/>
      <c r="DO84" s="17"/>
      <c r="DP84" s="17"/>
      <c r="DQ84" s="17"/>
      <c r="DR84" s="17"/>
      <c r="DS84" s="17"/>
      <c r="DT84" s="17"/>
      <c r="DU84" s="17"/>
      <c r="DV84" s="17"/>
      <c r="DW84" s="17"/>
      <c r="DX84" s="17"/>
      <c r="DY84" s="17"/>
      <c r="DZ84" s="17"/>
      <c r="EA84" s="17"/>
      <c r="EB84" s="17"/>
      <c r="EC84" s="17"/>
    </row>
    <row r="85" spans="1:133" x14ac:dyDescent="0.2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17"/>
      <c r="CH85" s="17"/>
      <c r="CI85" s="17"/>
      <c r="CJ85" s="17"/>
      <c r="CK85" s="17"/>
      <c r="CL85" s="17"/>
      <c r="CM85" s="17"/>
      <c r="CN85" s="17"/>
      <c r="CO85" s="17"/>
      <c r="CP85" s="17"/>
      <c r="CQ85" s="17"/>
      <c r="CR85" s="17"/>
      <c r="CS85" s="17"/>
      <c r="CT85" s="17"/>
      <c r="CU85" s="17"/>
      <c r="CV85" s="17"/>
      <c r="CW85" s="17"/>
      <c r="CX85" s="17"/>
      <c r="CY85" s="17"/>
      <c r="CZ85" s="17"/>
      <c r="DA85" s="17"/>
      <c r="DB85" s="17"/>
      <c r="DC85" s="17"/>
      <c r="DD85" s="17"/>
      <c r="DE85" s="17"/>
      <c r="DF85" s="17"/>
      <c r="DG85" s="17"/>
      <c r="DH85" s="17"/>
      <c r="DI85" s="17"/>
      <c r="DJ85" s="17"/>
      <c r="DK85" s="17"/>
      <c r="DL85" s="17"/>
      <c r="DM85" s="17"/>
      <c r="DN85" s="17"/>
      <c r="DO85" s="17"/>
      <c r="DP85" s="17"/>
      <c r="DQ85" s="17"/>
      <c r="DR85" s="17"/>
      <c r="DS85" s="17"/>
      <c r="DT85" s="17"/>
      <c r="DU85" s="17"/>
      <c r="DV85" s="17"/>
      <c r="DW85" s="17"/>
      <c r="DX85" s="17"/>
      <c r="DY85" s="17"/>
      <c r="DZ85" s="17"/>
      <c r="EA85" s="17"/>
      <c r="EB85" s="17"/>
      <c r="EC85" s="17"/>
    </row>
    <row r="86" spans="1:133" x14ac:dyDescent="0.25">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c r="CF86" s="17"/>
      <c r="CG86" s="17"/>
      <c r="CH86" s="17"/>
      <c r="CI86" s="17"/>
      <c r="CJ86" s="17"/>
      <c r="CK86" s="17"/>
      <c r="CL86" s="17"/>
      <c r="CM86" s="17"/>
      <c r="CN86" s="17"/>
      <c r="CO86" s="17"/>
      <c r="CP86" s="17"/>
      <c r="CQ86" s="17"/>
      <c r="CR86" s="17"/>
      <c r="CS86" s="17"/>
      <c r="CT86" s="17"/>
      <c r="CU86" s="17"/>
      <c r="CV86" s="17"/>
      <c r="CW86" s="17"/>
      <c r="CX86" s="17"/>
      <c r="CY86" s="17"/>
      <c r="CZ86" s="17"/>
      <c r="DA86" s="17"/>
      <c r="DB86" s="17"/>
      <c r="DC86" s="17"/>
      <c r="DD86" s="17"/>
      <c r="DE86" s="17"/>
      <c r="DF86" s="17"/>
      <c r="DG86" s="17"/>
      <c r="DH86" s="17"/>
      <c r="DI86" s="17"/>
      <c r="DJ86" s="17"/>
      <c r="DK86" s="17"/>
      <c r="DL86" s="17"/>
      <c r="DM86" s="17"/>
      <c r="DN86" s="17"/>
      <c r="DO86" s="17"/>
      <c r="DP86" s="17"/>
      <c r="DQ86" s="17"/>
      <c r="DR86" s="17"/>
      <c r="DS86" s="17"/>
      <c r="DT86" s="17"/>
      <c r="DU86" s="17"/>
      <c r="DV86" s="17"/>
      <c r="DW86" s="17"/>
      <c r="DX86" s="17"/>
      <c r="DY86" s="17"/>
      <c r="DZ86" s="17"/>
      <c r="EA86" s="17"/>
      <c r="EB86" s="17"/>
      <c r="EC86" s="17"/>
    </row>
    <row r="87" spans="1:133" x14ac:dyDescent="0.25">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c r="BQ87" s="17"/>
      <c r="BR87" s="17"/>
      <c r="BS87" s="17"/>
      <c r="BT87" s="17"/>
      <c r="BU87" s="17"/>
      <c r="BV87" s="17"/>
      <c r="BW87" s="17"/>
      <c r="BX87" s="17"/>
      <c r="BY87" s="17"/>
      <c r="BZ87" s="17"/>
      <c r="CA87" s="17"/>
      <c r="CB87" s="17"/>
      <c r="CC87" s="17"/>
      <c r="CD87" s="17"/>
      <c r="CE87" s="17"/>
      <c r="CF87" s="17"/>
      <c r="CG87" s="17"/>
      <c r="CH87" s="17"/>
      <c r="CI87" s="17"/>
      <c r="CJ87" s="17"/>
      <c r="CK87" s="17"/>
      <c r="CL87" s="17"/>
      <c r="CM87" s="17"/>
      <c r="CN87" s="17"/>
      <c r="CO87" s="17"/>
      <c r="CP87" s="17"/>
      <c r="CQ87" s="17"/>
      <c r="CR87" s="17"/>
      <c r="CS87" s="17"/>
      <c r="CT87" s="17"/>
      <c r="CU87" s="17"/>
      <c r="CV87" s="17"/>
      <c r="CW87" s="17"/>
      <c r="CX87" s="17"/>
      <c r="CY87" s="17"/>
      <c r="CZ87" s="17"/>
      <c r="DA87" s="17"/>
      <c r="DB87" s="17"/>
      <c r="DC87" s="17"/>
      <c r="DD87" s="17"/>
      <c r="DE87" s="17"/>
      <c r="DF87" s="17"/>
      <c r="DG87" s="17"/>
      <c r="DH87" s="17"/>
      <c r="DI87" s="17"/>
      <c r="DJ87" s="17"/>
      <c r="DK87" s="17"/>
      <c r="DL87" s="17"/>
      <c r="DM87" s="17"/>
      <c r="DN87" s="17"/>
      <c r="DO87" s="17"/>
      <c r="DP87" s="17"/>
      <c r="DQ87" s="17"/>
      <c r="DR87" s="17"/>
      <c r="DS87" s="17"/>
      <c r="DT87" s="17"/>
      <c r="DU87" s="17"/>
      <c r="DV87" s="17"/>
      <c r="DW87" s="17"/>
      <c r="DX87" s="17"/>
      <c r="DY87" s="17"/>
      <c r="DZ87" s="17"/>
      <c r="EA87" s="17"/>
      <c r="EB87" s="17"/>
      <c r="EC87" s="17"/>
    </row>
    <row r="88" spans="1:133" x14ac:dyDescent="0.25">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c r="CO88" s="17"/>
      <c r="CP88" s="17"/>
      <c r="CQ88" s="17"/>
      <c r="CR88" s="17"/>
      <c r="CS88" s="17"/>
      <c r="CT88" s="17"/>
      <c r="CU88" s="17"/>
      <c r="CV88" s="17"/>
      <c r="CW88" s="17"/>
      <c r="CX88" s="17"/>
      <c r="CY88" s="17"/>
      <c r="CZ88" s="17"/>
      <c r="DA88" s="17"/>
      <c r="DB88" s="17"/>
      <c r="DC88" s="17"/>
      <c r="DD88" s="17"/>
      <c r="DE88" s="17"/>
      <c r="DF88" s="17"/>
      <c r="DG88" s="17"/>
      <c r="DH88" s="17"/>
      <c r="DI88" s="17"/>
      <c r="DJ88" s="17"/>
      <c r="DK88" s="17"/>
      <c r="DL88" s="17"/>
      <c r="DM88" s="17"/>
      <c r="DN88" s="17"/>
      <c r="DO88" s="17"/>
      <c r="DP88" s="17"/>
      <c r="DQ88" s="17"/>
      <c r="DR88" s="17"/>
      <c r="DS88" s="17"/>
      <c r="DT88" s="17"/>
      <c r="DU88" s="17"/>
      <c r="DV88" s="17"/>
      <c r="DW88" s="17"/>
      <c r="DX88" s="17"/>
      <c r="DY88" s="17"/>
      <c r="DZ88" s="17"/>
      <c r="EA88" s="17"/>
      <c r="EB88" s="17"/>
      <c r="EC88" s="17"/>
    </row>
    <row r="89" spans="1:133" x14ac:dyDescent="0.25">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17"/>
      <c r="CH89" s="17"/>
      <c r="CI89" s="17"/>
      <c r="CJ89" s="17"/>
      <c r="CK89" s="17"/>
      <c r="CL89" s="17"/>
      <c r="CM89" s="17"/>
      <c r="CN89" s="17"/>
      <c r="CO89" s="17"/>
      <c r="CP89" s="17"/>
      <c r="CQ89" s="17"/>
      <c r="CR89" s="17"/>
      <c r="CS89" s="17"/>
      <c r="CT89" s="17"/>
      <c r="CU89" s="17"/>
      <c r="CV89" s="17"/>
      <c r="CW89" s="17"/>
      <c r="CX89" s="17"/>
      <c r="CY89" s="17"/>
      <c r="CZ89" s="17"/>
      <c r="DA89" s="17"/>
      <c r="DB89" s="17"/>
      <c r="DC89" s="17"/>
      <c r="DD89" s="17"/>
      <c r="DE89" s="17"/>
      <c r="DF89" s="17"/>
      <c r="DG89" s="17"/>
      <c r="DH89" s="17"/>
      <c r="DI89" s="17"/>
      <c r="DJ89" s="17"/>
      <c r="DK89" s="17"/>
      <c r="DL89" s="17"/>
      <c r="DM89" s="17"/>
      <c r="DN89" s="17"/>
      <c r="DO89" s="17"/>
      <c r="DP89" s="17"/>
      <c r="DQ89" s="17"/>
      <c r="DR89" s="17"/>
      <c r="DS89" s="17"/>
      <c r="DT89" s="17"/>
      <c r="DU89" s="17"/>
      <c r="DV89" s="17"/>
      <c r="DW89" s="17"/>
      <c r="DX89" s="17"/>
      <c r="DY89" s="17"/>
      <c r="DZ89" s="17"/>
      <c r="EA89" s="17"/>
      <c r="EB89" s="17"/>
      <c r="EC89" s="17"/>
    </row>
    <row r="90" spans="1:133" x14ac:dyDescent="0.25">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17"/>
      <c r="CH90" s="17"/>
      <c r="CI90" s="17"/>
      <c r="CJ90" s="17"/>
      <c r="CK90" s="17"/>
      <c r="CL90" s="17"/>
      <c r="CM90" s="17"/>
      <c r="CN90" s="17"/>
      <c r="CO90" s="17"/>
      <c r="CP90" s="17"/>
      <c r="CQ90" s="17"/>
      <c r="CR90" s="17"/>
      <c r="CS90" s="17"/>
      <c r="CT90" s="17"/>
      <c r="CU90" s="17"/>
      <c r="CV90" s="17"/>
      <c r="CW90" s="17"/>
      <c r="CX90" s="17"/>
      <c r="CY90" s="17"/>
      <c r="CZ90" s="17"/>
      <c r="DA90" s="17"/>
      <c r="DB90" s="17"/>
      <c r="DC90" s="17"/>
      <c r="DD90" s="17"/>
      <c r="DE90" s="17"/>
      <c r="DF90" s="17"/>
      <c r="DG90" s="17"/>
      <c r="DH90" s="17"/>
      <c r="DI90" s="17"/>
      <c r="DJ90" s="17"/>
      <c r="DK90" s="17"/>
      <c r="DL90" s="17"/>
      <c r="DM90" s="17"/>
      <c r="DN90" s="17"/>
      <c r="DO90" s="17"/>
      <c r="DP90" s="17"/>
      <c r="DQ90" s="17"/>
      <c r="DR90" s="17"/>
      <c r="DS90" s="17"/>
      <c r="DT90" s="17"/>
      <c r="DU90" s="17"/>
      <c r="DV90" s="17"/>
      <c r="DW90" s="17"/>
      <c r="DX90" s="17"/>
      <c r="DY90" s="17"/>
      <c r="DZ90" s="17"/>
      <c r="EA90" s="17"/>
      <c r="EB90" s="17"/>
      <c r="EC90" s="17"/>
    </row>
    <row r="91" spans="1:133" x14ac:dyDescent="0.25">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17"/>
      <c r="CH91" s="17"/>
      <c r="CI91" s="17"/>
      <c r="CJ91" s="17"/>
      <c r="CK91" s="17"/>
      <c r="CL91" s="17"/>
      <c r="CM91" s="17"/>
      <c r="CN91" s="17"/>
      <c r="CO91" s="17"/>
      <c r="CP91" s="17"/>
      <c r="CQ91" s="17"/>
      <c r="CR91" s="17"/>
      <c r="CS91" s="17"/>
      <c r="CT91" s="17"/>
      <c r="CU91" s="17"/>
      <c r="CV91" s="17"/>
      <c r="CW91" s="17"/>
      <c r="CX91" s="17"/>
      <c r="CY91" s="17"/>
      <c r="CZ91" s="17"/>
      <c r="DA91" s="17"/>
      <c r="DB91" s="17"/>
      <c r="DC91" s="17"/>
      <c r="DD91" s="17"/>
      <c r="DE91" s="17"/>
      <c r="DF91" s="17"/>
      <c r="DG91" s="17"/>
      <c r="DH91" s="17"/>
      <c r="DI91" s="17"/>
      <c r="DJ91" s="17"/>
      <c r="DK91" s="17"/>
      <c r="DL91" s="17"/>
      <c r="DM91" s="17"/>
      <c r="DN91" s="17"/>
      <c r="DO91" s="17"/>
      <c r="DP91" s="17"/>
      <c r="DQ91" s="17"/>
      <c r="DR91" s="17"/>
      <c r="DS91" s="17"/>
      <c r="DT91" s="17"/>
      <c r="DU91" s="17"/>
      <c r="DV91" s="17"/>
      <c r="DW91" s="17"/>
      <c r="DX91" s="17"/>
      <c r="DY91" s="17"/>
      <c r="DZ91" s="17"/>
      <c r="EA91" s="17"/>
      <c r="EB91" s="17"/>
      <c r="EC91" s="17"/>
    </row>
    <row r="92" spans="1:133" x14ac:dyDescent="0.25">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c r="CK92" s="17"/>
      <c r="CL92" s="17"/>
      <c r="CM92" s="17"/>
      <c r="CN92" s="17"/>
      <c r="CO92" s="17"/>
      <c r="CP92" s="17"/>
      <c r="CQ92" s="17"/>
      <c r="CR92" s="17"/>
      <c r="CS92" s="17"/>
      <c r="CT92" s="17"/>
      <c r="CU92" s="17"/>
      <c r="CV92" s="17"/>
      <c r="CW92" s="17"/>
      <c r="CX92" s="17"/>
      <c r="CY92" s="17"/>
      <c r="CZ92" s="17"/>
      <c r="DA92" s="17"/>
      <c r="DB92" s="17"/>
      <c r="DC92" s="17"/>
      <c r="DD92" s="17"/>
      <c r="DE92" s="17"/>
      <c r="DF92" s="17"/>
      <c r="DG92" s="17"/>
      <c r="DH92" s="17"/>
      <c r="DI92" s="17"/>
      <c r="DJ92" s="17"/>
      <c r="DK92" s="17"/>
      <c r="DL92" s="17"/>
      <c r="DM92" s="17"/>
      <c r="DN92" s="17"/>
      <c r="DO92" s="17"/>
      <c r="DP92" s="17"/>
      <c r="DQ92" s="17"/>
      <c r="DR92" s="17"/>
      <c r="DS92" s="17"/>
      <c r="DT92" s="17"/>
      <c r="DU92" s="17"/>
      <c r="DV92" s="17"/>
      <c r="DW92" s="17"/>
      <c r="DX92" s="17"/>
      <c r="DY92" s="17"/>
      <c r="DZ92" s="17"/>
      <c r="EA92" s="17"/>
      <c r="EB92" s="17"/>
      <c r="EC92" s="17"/>
    </row>
    <row r="93" spans="1:133" x14ac:dyDescent="0.25">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c r="BP93" s="17"/>
      <c r="BQ93" s="17"/>
      <c r="BR93" s="17"/>
      <c r="BS93" s="17"/>
      <c r="BT93" s="17"/>
      <c r="BU93" s="17"/>
      <c r="BV93" s="17"/>
      <c r="BW93" s="17"/>
      <c r="BX93" s="17"/>
      <c r="BY93" s="17"/>
      <c r="BZ93" s="17"/>
      <c r="CA93" s="17"/>
      <c r="CB93" s="17"/>
      <c r="CC93" s="17"/>
      <c r="CD93" s="17"/>
      <c r="CE93" s="17"/>
      <c r="CF93" s="17"/>
      <c r="CG93" s="17"/>
      <c r="CH93" s="17"/>
      <c r="CI93" s="17"/>
      <c r="CJ93" s="17"/>
      <c r="CK93" s="17"/>
      <c r="CL93" s="17"/>
      <c r="CM93" s="17"/>
      <c r="CN93" s="17"/>
      <c r="CO93" s="17"/>
      <c r="CP93" s="17"/>
      <c r="CQ93" s="17"/>
      <c r="CR93" s="17"/>
      <c r="CS93" s="17"/>
      <c r="CT93" s="17"/>
      <c r="CU93" s="17"/>
      <c r="CV93" s="17"/>
      <c r="CW93" s="17"/>
      <c r="CX93" s="17"/>
      <c r="CY93" s="17"/>
      <c r="CZ93" s="17"/>
      <c r="DA93" s="17"/>
      <c r="DB93" s="17"/>
      <c r="DC93" s="17"/>
      <c r="DD93" s="17"/>
      <c r="DE93" s="17"/>
      <c r="DF93" s="17"/>
      <c r="DG93" s="17"/>
      <c r="DH93" s="17"/>
      <c r="DI93" s="17"/>
      <c r="DJ93" s="17"/>
      <c r="DK93" s="17"/>
      <c r="DL93" s="17"/>
      <c r="DM93" s="17"/>
      <c r="DN93" s="17"/>
      <c r="DO93" s="17"/>
      <c r="DP93" s="17"/>
      <c r="DQ93" s="17"/>
      <c r="DR93" s="17"/>
      <c r="DS93" s="17"/>
      <c r="DT93" s="17"/>
      <c r="DU93" s="17"/>
      <c r="DV93" s="17"/>
      <c r="DW93" s="17"/>
      <c r="DX93" s="17"/>
      <c r="DY93" s="17"/>
      <c r="DZ93" s="17"/>
      <c r="EA93" s="17"/>
      <c r="EB93" s="17"/>
      <c r="EC93" s="17"/>
    </row>
    <row r="94" spans="1:133" x14ac:dyDescent="0.25">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c r="CF94" s="17"/>
      <c r="CG94" s="17"/>
      <c r="CH94" s="17"/>
      <c r="CI94" s="17"/>
      <c r="CJ94" s="17"/>
      <c r="CK94" s="17"/>
      <c r="CL94" s="17"/>
      <c r="CM94" s="17"/>
      <c r="CN94" s="17"/>
      <c r="CO94" s="17"/>
      <c r="CP94" s="17"/>
      <c r="CQ94" s="17"/>
      <c r="CR94" s="17"/>
      <c r="CS94" s="17"/>
      <c r="CT94" s="17"/>
      <c r="CU94" s="17"/>
      <c r="CV94" s="17"/>
      <c r="CW94" s="17"/>
      <c r="CX94" s="17"/>
      <c r="CY94" s="17"/>
      <c r="CZ94" s="17"/>
      <c r="DA94" s="17"/>
      <c r="DB94" s="17"/>
      <c r="DC94" s="17"/>
      <c r="DD94" s="17"/>
      <c r="DE94" s="17"/>
      <c r="DF94" s="17"/>
      <c r="DG94" s="17"/>
      <c r="DH94" s="17"/>
      <c r="DI94" s="17"/>
      <c r="DJ94" s="17"/>
      <c r="DK94" s="17"/>
      <c r="DL94" s="17"/>
      <c r="DM94" s="17"/>
      <c r="DN94" s="17"/>
      <c r="DO94" s="17"/>
      <c r="DP94" s="17"/>
      <c r="DQ94" s="17"/>
      <c r="DR94" s="17"/>
      <c r="DS94" s="17"/>
      <c r="DT94" s="17"/>
      <c r="DU94" s="17"/>
      <c r="DV94" s="17"/>
      <c r="DW94" s="17"/>
      <c r="DX94" s="17"/>
      <c r="DY94" s="17"/>
      <c r="DZ94" s="17"/>
      <c r="EA94" s="17"/>
      <c r="EB94" s="17"/>
      <c r="EC94" s="17"/>
    </row>
    <row r="95" spans="1:133" x14ac:dyDescent="0.2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c r="CF95" s="17"/>
      <c r="CG95" s="17"/>
      <c r="CH95" s="17"/>
      <c r="CI95" s="17"/>
      <c r="CJ95" s="17"/>
      <c r="CK95" s="17"/>
      <c r="CL95" s="17"/>
      <c r="CM95" s="17"/>
      <c r="CN95" s="17"/>
      <c r="CO95" s="17"/>
      <c r="CP95" s="17"/>
      <c r="CQ95" s="17"/>
      <c r="CR95" s="17"/>
      <c r="CS95" s="17"/>
      <c r="CT95" s="17"/>
      <c r="CU95" s="17"/>
      <c r="CV95" s="17"/>
      <c r="CW95" s="17"/>
      <c r="CX95" s="17"/>
      <c r="CY95" s="17"/>
      <c r="CZ95" s="17"/>
      <c r="DA95" s="17"/>
      <c r="DB95" s="17"/>
      <c r="DC95" s="17"/>
      <c r="DD95" s="17"/>
      <c r="DE95" s="17"/>
      <c r="DF95" s="17"/>
      <c r="DG95" s="17"/>
      <c r="DH95" s="17"/>
      <c r="DI95" s="17"/>
      <c r="DJ95" s="17"/>
      <c r="DK95" s="17"/>
      <c r="DL95" s="17"/>
      <c r="DM95" s="17"/>
      <c r="DN95" s="17"/>
      <c r="DO95" s="17"/>
      <c r="DP95" s="17"/>
      <c r="DQ95" s="17"/>
      <c r="DR95" s="17"/>
      <c r="DS95" s="17"/>
      <c r="DT95" s="17"/>
      <c r="DU95" s="17"/>
      <c r="DV95" s="17"/>
      <c r="DW95" s="17"/>
      <c r="DX95" s="17"/>
      <c r="DY95" s="17"/>
      <c r="DZ95" s="17"/>
      <c r="EA95" s="17"/>
      <c r="EB95" s="17"/>
      <c r="EC95" s="17"/>
    </row>
    <row r="96" spans="1:133" x14ac:dyDescent="0.25">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7"/>
      <c r="BS96" s="17"/>
      <c r="BT96" s="17"/>
      <c r="BU96" s="17"/>
      <c r="BV96" s="17"/>
      <c r="BW96" s="17"/>
      <c r="BX96" s="17"/>
      <c r="BY96" s="17"/>
      <c r="BZ96" s="17"/>
      <c r="CA96" s="17"/>
      <c r="CB96" s="17"/>
      <c r="CC96" s="17"/>
      <c r="CD96" s="17"/>
      <c r="CE96" s="17"/>
      <c r="CF96" s="17"/>
      <c r="CG96" s="17"/>
      <c r="CH96" s="17"/>
      <c r="CI96" s="17"/>
      <c r="CJ96" s="17"/>
      <c r="CK96" s="17"/>
      <c r="CL96" s="17"/>
      <c r="CM96" s="17"/>
      <c r="CN96" s="17"/>
      <c r="CO96" s="17"/>
      <c r="CP96" s="17"/>
      <c r="CQ96" s="17"/>
      <c r="CR96" s="17"/>
      <c r="CS96" s="17"/>
      <c r="CT96" s="17"/>
      <c r="CU96" s="17"/>
      <c r="CV96" s="17"/>
      <c r="CW96" s="17"/>
      <c r="CX96" s="17"/>
      <c r="CY96" s="17"/>
      <c r="CZ96" s="17"/>
      <c r="DA96" s="17"/>
      <c r="DB96" s="17"/>
      <c r="DC96" s="17"/>
      <c r="DD96" s="17"/>
      <c r="DE96" s="17"/>
      <c r="DF96" s="17"/>
      <c r="DG96" s="17"/>
      <c r="DH96" s="17"/>
      <c r="DI96" s="17"/>
      <c r="DJ96" s="17"/>
      <c r="DK96" s="17"/>
      <c r="DL96" s="17"/>
      <c r="DM96" s="17"/>
      <c r="DN96" s="17"/>
      <c r="DO96" s="17"/>
      <c r="DP96" s="17"/>
      <c r="DQ96" s="17"/>
      <c r="DR96" s="17"/>
      <c r="DS96" s="17"/>
      <c r="DT96" s="17"/>
      <c r="DU96" s="17"/>
      <c r="DV96" s="17"/>
      <c r="DW96" s="17"/>
      <c r="DX96" s="17"/>
      <c r="DY96" s="17"/>
      <c r="DZ96" s="17"/>
      <c r="EA96" s="17"/>
      <c r="EB96" s="17"/>
      <c r="EC96" s="17"/>
    </row>
    <row r="97" spans="1:133" x14ac:dyDescent="0.25">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c r="BP97" s="17"/>
      <c r="BQ97" s="17"/>
      <c r="BR97" s="17"/>
      <c r="BS97" s="17"/>
      <c r="BT97" s="17"/>
      <c r="BU97" s="17"/>
      <c r="BV97" s="17"/>
      <c r="BW97" s="17"/>
      <c r="BX97" s="17"/>
      <c r="BY97" s="17"/>
      <c r="BZ97" s="17"/>
      <c r="CA97" s="17"/>
      <c r="CB97" s="17"/>
      <c r="CC97" s="17"/>
      <c r="CD97" s="17"/>
      <c r="CE97" s="17"/>
      <c r="CF97" s="17"/>
      <c r="CG97" s="17"/>
      <c r="CH97" s="17"/>
      <c r="CI97" s="17"/>
      <c r="CJ97" s="17"/>
      <c r="CK97" s="17"/>
      <c r="CL97" s="17"/>
      <c r="CM97" s="17"/>
      <c r="CN97" s="17"/>
      <c r="CO97" s="17"/>
      <c r="CP97" s="17"/>
      <c r="CQ97" s="17"/>
      <c r="CR97" s="17"/>
      <c r="CS97" s="17"/>
      <c r="CT97" s="17"/>
      <c r="CU97" s="17"/>
      <c r="CV97" s="17"/>
      <c r="CW97" s="17"/>
      <c r="CX97" s="17"/>
      <c r="CY97" s="17"/>
      <c r="CZ97" s="17"/>
      <c r="DA97" s="17"/>
      <c r="DB97" s="17"/>
      <c r="DC97" s="17"/>
      <c r="DD97" s="17"/>
      <c r="DE97" s="17"/>
      <c r="DF97" s="17"/>
      <c r="DG97" s="17"/>
      <c r="DH97" s="17"/>
      <c r="DI97" s="17"/>
      <c r="DJ97" s="17"/>
      <c r="DK97" s="17"/>
      <c r="DL97" s="17"/>
      <c r="DM97" s="17"/>
      <c r="DN97" s="17"/>
      <c r="DO97" s="17"/>
      <c r="DP97" s="17"/>
      <c r="DQ97" s="17"/>
      <c r="DR97" s="17"/>
      <c r="DS97" s="17"/>
      <c r="DT97" s="17"/>
      <c r="DU97" s="17"/>
      <c r="DV97" s="17"/>
      <c r="DW97" s="17"/>
      <c r="DX97" s="17"/>
      <c r="DY97" s="17"/>
      <c r="DZ97" s="17"/>
      <c r="EA97" s="17"/>
      <c r="EB97" s="17"/>
      <c r="EC97" s="17"/>
    </row>
    <row r="98" spans="1:133" x14ac:dyDescent="0.25">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17"/>
      <c r="BQ98" s="17"/>
      <c r="BR98" s="17"/>
      <c r="BS98" s="17"/>
      <c r="BT98" s="17"/>
      <c r="BU98" s="17"/>
      <c r="BV98" s="17"/>
      <c r="BW98" s="17"/>
      <c r="BX98" s="17"/>
      <c r="BY98" s="17"/>
      <c r="BZ98" s="17"/>
      <c r="CA98" s="17"/>
      <c r="CB98" s="17"/>
      <c r="CC98" s="17"/>
      <c r="CD98" s="17"/>
      <c r="CE98" s="17"/>
      <c r="CF98" s="17"/>
      <c r="CG98" s="17"/>
      <c r="CH98" s="17"/>
      <c r="CI98" s="17"/>
      <c r="CJ98" s="17"/>
      <c r="CK98" s="17"/>
      <c r="CL98" s="17"/>
      <c r="CM98" s="17"/>
      <c r="CN98" s="17"/>
      <c r="CO98" s="17"/>
      <c r="CP98" s="17"/>
      <c r="CQ98" s="17"/>
      <c r="CR98" s="17"/>
      <c r="CS98" s="17"/>
      <c r="CT98" s="17"/>
      <c r="CU98" s="17"/>
      <c r="CV98" s="17"/>
      <c r="CW98" s="17"/>
      <c r="CX98" s="17"/>
      <c r="CY98" s="17"/>
      <c r="CZ98" s="17"/>
      <c r="DA98" s="17"/>
      <c r="DB98" s="17"/>
      <c r="DC98" s="17"/>
      <c r="DD98" s="17"/>
      <c r="DE98" s="17"/>
      <c r="DF98" s="17"/>
      <c r="DG98" s="17"/>
      <c r="DH98" s="17"/>
      <c r="DI98" s="17"/>
      <c r="DJ98" s="17"/>
      <c r="DK98" s="17"/>
      <c r="DL98" s="17"/>
      <c r="DM98" s="17"/>
      <c r="DN98" s="17"/>
      <c r="DO98" s="17"/>
      <c r="DP98" s="17"/>
      <c r="DQ98" s="17"/>
      <c r="DR98" s="17"/>
      <c r="DS98" s="17"/>
      <c r="DT98" s="17"/>
      <c r="DU98" s="17"/>
      <c r="DV98" s="17"/>
      <c r="DW98" s="17"/>
      <c r="DX98" s="17"/>
      <c r="DY98" s="17"/>
      <c r="DZ98" s="17"/>
      <c r="EA98" s="17"/>
      <c r="EB98" s="17"/>
      <c r="EC98" s="17"/>
    </row>
    <row r="99" spans="1:133" x14ac:dyDescent="0.25">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c r="BO99" s="17"/>
      <c r="BP99" s="17"/>
      <c r="BQ99" s="17"/>
      <c r="BR99" s="17"/>
      <c r="BS99" s="17"/>
      <c r="BT99" s="17"/>
      <c r="BU99" s="17"/>
      <c r="BV99" s="17"/>
      <c r="BW99" s="17"/>
      <c r="BX99" s="17"/>
      <c r="BY99" s="17"/>
      <c r="BZ99" s="17"/>
      <c r="CA99" s="17"/>
      <c r="CB99" s="17"/>
      <c r="CC99" s="17"/>
      <c r="CD99" s="17"/>
      <c r="CE99" s="17"/>
      <c r="CF99" s="17"/>
      <c r="CG99" s="17"/>
      <c r="CH99" s="17"/>
      <c r="CI99" s="17"/>
      <c r="CJ99" s="17"/>
      <c r="CK99" s="17"/>
      <c r="CL99" s="17"/>
      <c r="CM99" s="17"/>
      <c r="CN99" s="17"/>
      <c r="CO99" s="17"/>
      <c r="CP99" s="17"/>
      <c r="CQ99" s="17"/>
      <c r="CR99" s="17"/>
      <c r="CS99" s="17"/>
      <c r="CT99" s="17"/>
      <c r="CU99" s="17"/>
      <c r="CV99" s="17"/>
      <c r="CW99" s="17"/>
      <c r="CX99" s="17"/>
      <c r="CY99" s="17"/>
      <c r="CZ99" s="17"/>
      <c r="DA99" s="17"/>
      <c r="DB99" s="17"/>
      <c r="DC99" s="17"/>
      <c r="DD99" s="17"/>
      <c r="DE99" s="17"/>
      <c r="DF99" s="17"/>
      <c r="DG99" s="17"/>
      <c r="DH99" s="17"/>
      <c r="DI99" s="17"/>
      <c r="DJ99" s="17"/>
      <c r="DK99" s="17"/>
      <c r="DL99" s="17"/>
      <c r="DM99" s="17"/>
      <c r="DN99" s="17"/>
      <c r="DO99" s="17"/>
      <c r="DP99" s="17"/>
      <c r="DQ99" s="17"/>
      <c r="DR99" s="17"/>
      <c r="DS99" s="17"/>
      <c r="DT99" s="17"/>
      <c r="DU99" s="17"/>
      <c r="DV99" s="17"/>
      <c r="DW99" s="17"/>
      <c r="DX99" s="17"/>
      <c r="DY99" s="17"/>
      <c r="DZ99" s="17"/>
      <c r="EA99" s="17"/>
      <c r="EB99" s="17"/>
      <c r="EC99" s="17"/>
    </row>
    <row r="100" spans="1:133" x14ac:dyDescent="0.25">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7"/>
      <c r="BW100" s="17"/>
      <c r="BX100" s="17"/>
      <c r="BY100" s="17"/>
      <c r="BZ100" s="17"/>
      <c r="CA100" s="17"/>
      <c r="CB100" s="17"/>
      <c r="CC100" s="17"/>
      <c r="CD100" s="17"/>
      <c r="CE100" s="17"/>
      <c r="CF100" s="17"/>
      <c r="CG100" s="17"/>
      <c r="CH100" s="17"/>
      <c r="CI100" s="17"/>
      <c r="CJ100" s="17"/>
      <c r="CK100" s="17"/>
      <c r="CL100" s="17"/>
      <c r="CM100" s="17"/>
      <c r="CN100" s="17"/>
      <c r="CO100" s="17"/>
      <c r="CP100" s="17"/>
      <c r="CQ100" s="17"/>
      <c r="CR100" s="17"/>
      <c r="CS100" s="17"/>
      <c r="CT100" s="17"/>
      <c r="CU100" s="17"/>
      <c r="CV100" s="17"/>
      <c r="CW100" s="17"/>
      <c r="CX100" s="17"/>
      <c r="CY100" s="17"/>
      <c r="CZ100" s="17"/>
      <c r="DA100" s="17"/>
      <c r="DB100" s="17"/>
      <c r="DC100" s="17"/>
      <c r="DD100" s="17"/>
      <c r="DE100" s="17"/>
      <c r="DF100" s="17"/>
      <c r="DG100" s="17"/>
      <c r="DH100" s="17"/>
      <c r="DI100" s="17"/>
      <c r="DJ100" s="17"/>
      <c r="DK100" s="17"/>
      <c r="DL100" s="17"/>
      <c r="DM100" s="17"/>
      <c r="DN100" s="17"/>
      <c r="DO100" s="17"/>
      <c r="DP100" s="17"/>
      <c r="DQ100" s="17"/>
      <c r="DR100" s="17"/>
      <c r="DS100" s="17"/>
      <c r="DT100" s="17"/>
      <c r="DU100" s="17"/>
      <c r="DV100" s="17"/>
      <c r="DW100" s="17"/>
      <c r="DX100" s="17"/>
      <c r="DY100" s="17"/>
      <c r="DZ100" s="17"/>
      <c r="EA100" s="17"/>
      <c r="EB100" s="17"/>
      <c r="EC100" s="17"/>
    </row>
    <row r="101" spans="1:133" x14ac:dyDescent="0.25">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c r="CC101" s="17"/>
      <c r="CD101" s="17"/>
      <c r="CE101" s="17"/>
      <c r="CF101" s="17"/>
      <c r="CG101" s="17"/>
      <c r="CH101" s="17"/>
      <c r="CI101" s="17"/>
      <c r="CJ101" s="17"/>
      <c r="CK101" s="17"/>
      <c r="CL101" s="17"/>
      <c r="CM101" s="17"/>
      <c r="CN101" s="17"/>
      <c r="CO101" s="17"/>
      <c r="CP101" s="17"/>
      <c r="CQ101" s="17"/>
      <c r="CR101" s="17"/>
      <c r="CS101" s="17"/>
      <c r="CT101" s="17"/>
      <c r="CU101" s="17"/>
      <c r="CV101" s="17"/>
      <c r="CW101" s="17"/>
      <c r="CX101" s="17"/>
      <c r="CY101" s="17"/>
      <c r="CZ101" s="17"/>
      <c r="DA101" s="17"/>
      <c r="DB101" s="17"/>
      <c r="DC101" s="17"/>
      <c r="DD101" s="17"/>
      <c r="DE101" s="17"/>
      <c r="DF101" s="17"/>
      <c r="DG101" s="17"/>
      <c r="DH101" s="17"/>
      <c r="DI101" s="17"/>
      <c r="DJ101" s="17"/>
      <c r="DK101" s="17"/>
      <c r="DL101" s="17"/>
      <c r="DM101" s="17"/>
      <c r="DN101" s="17"/>
      <c r="DO101" s="17"/>
      <c r="DP101" s="17"/>
      <c r="DQ101" s="17"/>
      <c r="DR101" s="17"/>
      <c r="DS101" s="17"/>
      <c r="DT101" s="17"/>
      <c r="DU101" s="17"/>
      <c r="DV101" s="17"/>
      <c r="DW101" s="17"/>
      <c r="DX101" s="17"/>
      <c r="DY101" s="17"/>
      <c r="DZ101" s="17"/>
      <c r="EA101" s="17"/>
      <c r="EB101" s="17"/>
      <c r="EC101" s="17"/>
    </row>
    <row r="102" spans="1:133" x14ac:dyDescent="0.25">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c r="CF102" s="17"/>
      <c r="CG102" s="17"/>
      <c r="CH102" s="17"/>
      <c r="CI102" s="17"/>
      <c r="CJ102" s="17"/>
      <c r="CK102" s="17"/>
      <c r="CL102" s="17"/>
      <c r="CM102" s="17"/>
      <c r="CN102" s="17"/>
      <c r="CO102" s="17"/>
      <c r="CP102" s="17"/>
      <c r="CQ102" s="17"/>
      <c r="CR102" s="17"/>
      <c r="CS102" s="17"/>
      <c r="CT102" s="17"/>
      <c r="CU102" s="17"/>
      <c r="CV102" s="17"/>
      <c r="CW102" s="17"/>
      <c r="CX102" s="17"/>
      <c r="CY102" s="17"/>
      <c r="CZ102" s="17"/>
      <c r="DA102" s="17"/>
      <c r="DB102" s="17"/>
      <c r="DC102" s="17"/>
      <c r="DD102" s="17"/>
      <c r="DE102" s="17"/>
      <c r="DF102" s="17"/>
      <c r="DG102" s="17"/>
      <c r="DH102" s="17"/>
      <c r="DI102" s="17"/>
      <c r="DJ102" s="17"/>
      <c r="DK102" s="17"/>
      <c r="DL102" s="17"/>
      <c r="DM102" s="17"/>
      <c r="DN102" s="17"/>
      <c r="DO102" s="17"/>
      <c r="DP102" s="17"/>
      <c r="DQ102" s="17"/>
      <c r="DR102" s="17"/>
      <c r="DS102" s="17"/>
      <c r="DT102" s="17"/>
      <c r="DU102" s="17"/>
      <c r="DV102" s="17"/>
      <c r="DW102" s="17"/>
      <c r="DX102" s="17"/>
      <c r="DY102" s="17"/>
      <c r="DZ102" s="17"/>
      <c r="EA102" s="17"/>
      <c r="EB102" s="17"/>
      <c r="EC102" s="17"/>
    </row>
    <row r="103" spans="1:133" x14ac:dyDescent="0.25">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c r="CD103" s="17"/>
      <c r="CE103" s="17"/>
      <c r="CF103" s="17"/>
      <c r="CG103" s="17"/>
      <c r="CH103" s="17"/>
      <c r="CI103" s="17"/>
      <c r="CJ103" s="17"/>
      <c r="CK103" s="17"/>
      <c r="CL103" s="17"/>
      <c r="CM103" s="17"/>
      <c r="CN103" s="17"/>
      <c r="CO103" s="17"/>
      <c r="CP103" s="17"/>
      <c r="CQ103" s="17"/>
      <c r="CR103" s="17"/>
      <c r="CS103" s="17"/>
      <c r="CT103" s="17"/>
      <c r="CU103" s="17"/>
      <c r="CV103" s="17"/>
      <c r="CW103" s="17"/>
      <c r="CX103" s="17"/>
      <c r="CY103" s="17"/>
      <c r="CZ103" s="17"/>
      <c r="DA103" s="17"/>
      <c r="DB103" s="17"/>
      <c r="DC103" s="17"/>
      <c r="DD103" s="17"/>
      <c r="DE103" s="17"/>
      <c r="DF103" s="17"/>
      <c r="DG103" s="17"/>
      <c r="DH103" s="17"/>
      <c r="DI103" s="17"/>
      <c r="DJ103" s="17"/>
      <c r="DK103" s="17"/>
      <c r="DL103" s="17"/>
      <c r="DM103" s="17"/>
      <c r="DN103" s="17"/>
      <c r="DO103" s="17"/>
      <c r="DP103" s="17"/>
      <c r="DQ103" s="17"/>
      <c r="DR103" s="17"/>
      <c r="DS103" s="17"/>
      <c r="DT103" s="17"/>
      <c r="DU103" s="17"/>
      <c r="DV103" s="17"/>
      <c r="DW103" s="17"/>
      <c r="DX103" s="17"/>
      <c r="DY103" s="17"/>
      <c r="DZ103" s="17"/>
      <c r="EA103" s="17"/>
      <c r="EB103" s="17"/>
      <c r="EC103" s="17"/>
    </row>
    <row r="104" spans="1:133" x14ac:dyDescent="0.25">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c r="CD104" s="17"/>
      <c r="CE104" s="17"/>
      <c r="CF104" s="17"/>
      <c r="CG104" s="17"/>
      <c r="CH104" s="17"/>
      <c r="CI104" s="17"/>
      <c r="CJ104" s="17"/>
      <c r="CK104" s="17"/>
      <c r="CL104" s="17"/>
      <c r="CM104" s="17"/>
      <c r="CN104" s="17"/>
      <c r="CO104" s="17"/>
      <c r="CP104" s="17"/>
      <c r="CQ104" s="17"/>
      <c r="CR104" s="17"/>
      <c r="CS104" s="17"/>
      <c r="CT104" s="17"/>
      <c r="CU104" s="17"/>
      <c r="CV104" s="17"/>
      <c r="CW104" s="17"/>
      <c r="CX104" s="17"/>
      <c r="CY104" s="17"/>
      <c r="CZ104" s="17"/>
      <c r="DA104" s="17"/>
      <c r="DB104" s="17"/>
      <c r="DC104" s="17"/>
      <c r="DD104" s="17"/>
      <c r="DE104" s="17"/>
      <c r="DF104" s="17"/>
      <c r="DG104" s="17"/>
      <c r="DH104" s="17"/>
      <c r="DI104" s="17"/>
      <c r="DJ104" s="17"/>
      <c r="DK104" s="17"/>
      <c r="DL104" s="17"/>
      <c r="DM104" s="17"/>
      <c r="DN104" s="17"/>
      <c r="DO104" s="17"/>
      <c r="DP104" s="17"/>
      <c r="DQ104" s="17"/>
      <c r="DR104" s="17"/>
      <c r="DS104" s="17"/>
      <c r="DT104" s="17"/>
      <c r="DU104" s="17"/>
      <c r="DV104" s="17"/>
      <c r="DW104" s="17"/>
      <c r="DX104" s="17"/>
      <c r="DY104" s="17"/>
      <c r="DZ104" s="17"/>
      <c r="EA104" s="17"/>
      <c r="EB104" s="17"/>
      <c r="EC104" s="17"/>
    </row>
    <row r="105" spans="1:133" x14ac:dyDescent="0.2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c r="CO105" s="17"/>
      <c r="CP105" s="17"/>
      <c r="CQ105" s="17"/>
      <c r="CR105" s="17"/>
      <c r="CS105" s="17"/>
      <c r="CT105" s="17"/>
      <c r="CU105" s="17"/>
      <c r="CV105" s="17"/>
      <c r="CW105" s="17"/>
      <c r="CX105" s="17"/>
      <c r="CY105" s="17"/>
      <c r="CZ105" s="17"/>
      <c r="DA105" s="17"/>
      <c r="DB105" s="17"/>
      <c r="DC105" s="17"/>
      <c r="DD105" s="17"/>
      <c r="DE105" s="17"/>
      <c r="DF105" s="17"/>
      <c r="DG105" s="17"/>
      <c r="DH105" s="17"/>
      <c r="DI105" s="17"/>
      <c r="DJ105" s="17"/>
      <c r="DK105" s="17"/>
      <c r="DL105" s="17"/>
      <c r="DM105" s="17"/>
      <c r="DN105" s="17"/>
      <c r="DO105" s="17"/>
      <c r="DP105" s="17"/>
      <c r="DQ105" s="17"/>
      <c r="DR105" s="17"/>
      <c r="DS105" s="17"/>
      <c r="DT105" s="17"/>
      <c r="DU105" s="17"/>
      <c r="DV105" s="17"/>
      <c r="DW105" s="17"/>
      <c r="DX105" s="17"/>
      <c r="DY105" s="17"/>
      <c r="DZ105" s="17"/>
      <c r="EA105" s="17"/>
      <c r="EB105" s="17"/>
      <c r="EC105" s="17"/>
    </row>
    <row r="106" spans="1:133" x14ac:dyDescent="0.25">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c r="CF106" s="17"/>
      <c r="CG106" s="17"/>
      <c r="CH106" s="17"/>
      <c r="CI106" s="17"/>
      <c r="CJ106" s="17"/>
      <c r="CK106" s="17"/>
      <c r="CL106" s="17"/>
      <c r="CM106" s="17"/>
      <c r="CN106" s="17"/>
      <c r="CO106" s="17"/>
      <c r="CP106" s="17"/>
      <c r="CQ106" s="17"/>
      <c r="CR106" s="17"/>
      <c r="CS106" s="17"/>
      <c r="CT106" s="17"/>
      <c r="CU106" s="17"/>
      <c r="CV106" s="17"/>
      <c r="CW106" s="17"/>
      <c r="CX106" s="17"/>
      <c r="CY106" s="17"/>
      <c r="CZ106" s="17"/>
      <c r="DA106" s="17"/>
      <c r="DB106" s="17"/>
      <c r="DC106" s="17"/>
      <c r="DD106" s="17"/>
      <c r="DE106" s="17"/>
      <c r="DF106" s="17"/>
      <c r="DG106" s="17"/>
      <c r="DH106" s="17"/>
      <c r="DI106" s="17"/>
      <c r="DJ106" s="17"/>
      <c r="DK106" s="17"/>
      <c r="DL106" s="17"/>
      <c r="DM106" s="17"/>
      <c r="DN106" s="17"/>
      <c r="DO106" s="17"/>
      <c r="DP106" s="17"/>
      <c r="DQ106" s="17"/>
      <c r="DR106" s="17"/>
      <c r="DS106" s="17"/>
      <c r="DT106" s="17"/>
      <c r="DU106" s="17"/>
      <c r="DV106" s="17"/>
      <c r="DW106" s="17"/>
      <c r="DX106" s="17"/>
      <c r="DY106" s="17"/>
      <c r="DZ106" s="17"/>
      <c r="EA106" s="17"/>
      <c r="EB106" s="17"/>
      <c r="EC106" s="17"/>
    </row>
    <row r="107" spans="1:133" x14ac:dyDescent="0.25">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c r="CF107" s="17"/>
      <c r="CG107" s="17"/>
      <c r="CH107" s="17"/>
      <c r="CI107" s="17"/>
      <c r="CJ107" s="17"/>
      <c r="CK107" s="17"/>
      <c r="CL107" s="17"/>
      <c r="CM107" s="17"/>
      <c r="CN107" s="17"/>
      <c r="CO107" s="17"/>
      <c r="CP107" s="17"/>
      <c r="CQ107" s="17"/>
      <c r="CR107" s="17"/>
      <c r="CS107" s="17"/>
      <c r="CT107" s="17"/>
      <c r="CU107" s="17"/>
      <c r="CV107" s="17"/>
      <c r="CW107" s="17"/>
      <c r="CX107" s="17"/>
      <c r="CY107" s="17"/>
      <c r="CZ107" s="17"/>
      <c r="DA107" s="17"/>
      <c r="DB107" s="17"/>
      <c r="DC107" s="17"/>
      <c r="DD107" s="17"/>
      <c r="DE107" s="17"/>
      <c r="DF107" s="17"/>
      <c r="DG107" s="17"/>
      <c r="DH107" s="17"/>
      <c r="DI107" s="17"/>
      <c r="DJ107" s="17"/>
      <c r="DK107" s="17"/>
      <c r="DL107" s="17"/>
      <c r="DM107" s="17"/>
      <c r="DN107" s="17"/>
      <c r="DO107" s="17"/>
      <c r="DP107" s="17"/>
      <c r="DQ107" s="17"/>
      <c r="DR107" s="17"/>
      <c r="DS107" s="17"/>
      <c r="DT107" s="17"/>
      <c r="DU107" s="17"/>
      <c r="DV107" s="17"/>
      <c r="DW107" s="17"/>
      <c r="DX107" s="17"/>
      <c r="DY107" s="17"/>
      <c r="DZ107" s="17"/>
      <c r="EA107" s="17"/>
      <c r="EB107" s="17"/>
      <c r="EC107" s="17"/>
    </row>
    <row r="108" spans="1:133" x14ac:dyDescent="0.25">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c r="BU108" s="17"/>
      <c r="BV108" s="17"/>
      <c r="BW108" s="17"/>
      <c r="BX108" s="17"/>
      <c r="BY108" s="17"/>
      <c r="BZ108" s="17"/>
      <c r="CA108" s="17"/>
      <c r="CB108" s="17"/>
      <c r="CC108" s="17"/>
      <c r="CD108" s="17"/>
      <c r="CE108" s="17"/>
      <c r="CF108" s="17"/>
      <c r="CG108" s="17"/>
      <c r="CH108" s="17"/>
      <c r="CI108" s="17"/>
      <c r="CJ108" s="17"/>
      <c r="CK108" s="17"/>
      <c r="CL108" s="17"/>
      <c r="CM108" s="17"/>
      <c r="CN108" s="17"/>
      <c r="CO108" s="17"/>
      <c r="CP108" s="17"/>
      <c r="CQ108" s="17"/>
      <c r="CR108" s="17"/>
      <c r="CS108" s="17"/>
      <c r="CT108" s="17"/>
      <c r="CU108" s="17"/>
      <c r="CV108" s="17"/>
      <c r="CW108" s="17"/>
      <c r="CX108" s="17"/>
      <c r="CY108" s="17"/>
      <c r="CZ108" s="17"/>
      <c r="DA108" s="17"/>
      <c r="DB108" s="17"/>
      <c r="DC108" s="17"/>
      <c r="DD108" s="17"/>
      <c r="DE108" s="17"/>
      <c r="DF108" s="17"/>
      <c r="DG108" s="17"/>
      <c r="DH108" s="17"/>
      <c r="DI108" s="17"/>
      <c r="DJ108" s="17"/>
      <c r="DK108" s="17"/>
      <c r="DL108" s="17"/>
      <c r="DM108" s="17"/>
      <c r="DN108" s="17"/>
      <c r="DO108" s="17"/>
      <c r="DP108" s="17"/>
      <c r="DQ108" s="17"/>
      <c r="DR108" s="17"/>
      <c r="DS108" s="17"/>
      <c r="DT108" s="17"/>
      <c r="DU108" s="17"/>
      <c r="DV108" s="17"/>
      <c r="DW108" s="17"/>
      <c r="DX108" s="17"/>
      <c r="DY108" s="17"/>
      <c r="DZ108" s="17"/>
      <c r="EA108" s="17"/>
      <c r="EB108" s="17"/>
      <c r="EC108" s="17"/>
    </row>
    <row r="109" spans="1:133" x14ac:dyDescent="0.25">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c r="CF109" s="17"/>
      <c r="CG109" s="17"/>
      <c r="CH109" s="17"/>
      <c r="CI109" s="17"/>
      <c r="CJ109" s="17"/>
      <c r="CK109" s="17"/>
      <c r="CL109" s="17"/>
      <c r="CM109" s="17"/>
      <c r="CN109" s="17"/>
      <c r="CO109" s="17"/>
      <c r="CP109" s="17"/>
      <c r="CQ109" s="17"/>
      <c r="CR109" s="17"/>
      <c r="CS109" s="17"/>
      <c r="CT109" s="17"/>
      <c r="CU109" s="17"/>
      <c r="CV109" s="17"/>
      <c r="CW109" s="17"/>
      <c r="CX109" s="17"/>
      <c r="CY109" s="17"/>
      <c r="CZ109" s="17"/>
      <c r="DA109" s="17"/>
      <c r="DB109" s="17"/>
      <c r="DC109" s="17"/>
      <c r="DD109" s="17"/>
      <c r="DE109" s="17"/>
      <c r="DF109" s="17"/>
      <c r="DG109" s="17"/>
      <c r="DH109" s="17"/>
      <c r="DI109" s="17"/>
      <c r="DJ109" s="17"/>
      <c r="DK109" s="17"/>
      <c r="DL109" s="17"/>
      <c r="DM109" s="17"/>
      <c r="DN109" s="17"/>
      <c r="DO109" s="17"/>
      <c r="DP109" s="17"/>
      <c r="DQ109" s="17"/>
      <c r="DR109" s="17"/>
      <c r="DS109" s="17"/>
      <c r="DT109" s="17"/>
      <c r="DU109" s="17"/>
      <c r="DV109" s="17"/>
      <c r="DW109" s="17"/>
      <c r="DX109" s="17"/>
      <c r="DY109" s="17"/>
      <c r="DZ109" s="17"/>
      <c r="EA109" s="17"/>
      <c r="EB109" s="17"/>
      <c r="EC109" s="17"/>
    </row>
    <row r="110" spans="1:133" x14ac:dyDescent="0.25">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c r="BU110" s="17"/>
      <c r="BV110" s="17"/>
      <c r="BW110" s="17"/>
      <c r="BX110" s="17"/>
      <c r="BY110" s="17"/>
      <c r="BZ110" s="17"/>
      <c r="CA110" s="17"/>
      <c r="CB110" s="17"/>
      <c r="CC110" s="17"/>
      <c r="CD110" s="17"/>
      <c r="CE110" s="17"/>
      <c r="CF110" s="17"/>
      <c r="CG110" s="17"/>
      <c r="CH110" s="17"/>
      <c r="CI110" s="17"/>
      <c r="CJ110" s="17"/>
      <c r="CK110" s="17"/>
      <c r="CL110" s="17"/>
      <c r="CM110" s="17"/>
      <c r="CN110" s="17"/>
      <c r="CO110" s="17"/>
      <c r="CP110" s="17"/>
      <c r="CQ110" s="17"/>
      <c r="CR110" s="17"/>
      <c r="CS110" s="17"/>
      <c r="CT110" s="17"/>
      <c r="CU110" s="17"/>
      <c r="CV110" s="17"/>
      <c r="CW110" s="17"/>
      <c r="CX110" s="17"/>
      <c r="CY110" s="17"/>
      <c r="CZ110" s="17"/>
      <c r="DA110" s="17"/>
      <c r="DB110" s="17"/>
      <c r="DC110" s="17"/>
      <c r="DD110" s="17"/>
      <c r="DE110" s="17"/>
      <c r="DF110" s="17"/>
      <c r="DG110" s="17"/>
      <c r="DH110" s="17"/>
      <c r="DI110" s="17"/>
      <c r="DJ110" s="17"/>
      <c r="DK110" s="17"/>
      <c r="DL110" s="17"/>
      <c r="DM110" s="17"/>
      <c r="DN110" s="17"/>
      <c r="DO110" s="17"/>
      <c r="DP110" s="17"/>
      <c r="DQ110" s="17"/>
      <c r="DR110" s="17"/>
      <c r="DS110" s="17"/>
      <c r="DT110" s="17"/>
      <c r="DU110" s="17"/>
      <c r="DV110" s="17"/>
      <c r="DW110" s="17"/>
      <c r="DX110" s="17"/>
      <c r="DY110" s="17"/>
      <c r="DZ110" s="17"/>
      <c r="EA110" s="17"/>
      <c r="EB110" s="17"/>
      <c r="EC110" s="17"/>
    </row>
    <row r="111" spans="1:133" x14ac:dyDescent="0.25">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c r="CC111" s="17"/>
      <c r="CD111" s="17"/>
      <c r="CE111" s="17"/>
      <c r="CF111" s="17"/>
      <c r="CG111" s="17"/>
      <c r="CH111" s="17"/>
      <c r="CI111" s="17"/>
      <c r="CJ111" s="17"/>
      <c r="CK111" s="17"/>
      <c r="CL111" s="17"/>
      <c r="CM111" s="17"/>
      <c r="CN111" s="17"/>
      <c r="CO111" s="17"/>
      <c r="CP111" s="17"/>
      <c r="CQ111" s="17"/>
      <c r="CR111" s="17"/>
      <c r="CS111" s="17"/>
      <c r="CT111" s="17"/>
      <c r="CU111" s="17"/>
      <c r="CV111" s="17"/>
      <c r="CW111" s="17"/>
      <c r="CX111" s="17"/>
      <c r="CY111" s="17"/>
      <c r="CZ111" s="17"/>
      <c r="DA111" s="17"/>
      <c r="DB111" s="17"/>
      <c r="DC111" s="17"/>
      <c r="DD111" s="17"/>
      <c r="DE111" s="17"/>
      <c r="DF111" s="17"/>
      <c r="DG111" s="17"/>
      <c r="DH111" s="17"/>
      <c r="DI111" s="17"/>
      <c r="DJ111" s="17"/>
      <c r="DK111" s="17"/>
      <c r="DL111" s="17"/>
      <c r="DM111" s="17"/>
      <c r="DN111" s="17"/>
      <c r="DO111" s="17"/>
      <c r="DP111" s="17"/>
      <c r="DQ111" s="17"/>
      <c r="DR111" s="17"/>
      <c r="DS111" s="17"/>
      <c r="DT111" s="17"/>
      <c r="DU111" s="17"/>
      <c r="DV111" s="17"/>
      <c r="DW111" s="17"/>
      <c r="DX111" s="17"/>
      <c r="DY111" s="17"/>
      <c r="DZ111" s="17"/>
      <c r="EA111" s="17"/>
      <c r="EB111" s="17"/>
      <c r="EC111" s="17"/>
    </row>
    <row r="112" spans="1:133" x14ac:dyDescent="0.25">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c r="CC112" s="17"/>
      <c r="CD112" s="17"/>
      <c r="CE112" s="17"/>
      <c r="CF112" s="17"/>
      <c r="CG112" s="17"/>
      <c r="CH112" s="17"/>
      <c r="CI112" s="17"/>
      <c r="CJ112" s="17"/>
      <c r="CK112" s="17"/>
      <c r="CL112" s="17"/>
      <c r="CM112" s="17"/>
      <c r="CN112" s="17"/>
      <c r="CO112" s="17"/>
      <c r="CP112" s="17"/>
      <c r="CQ112" s="17"/>
      <c r="CR112" s="17"/>
      <c r="CS112" s="17"/>
      <c r="CT112" s="17"/>
      <c r="CU112" s="17"/>
      <c r="CV112" s="17"/>
      <c r="CW112" s="17"/>
      <c r="CX112" s="17"/>
      <c r="CY112" s="17"/>
      <c r="CZ112" s="17"/>
      <c r="DA112" s="17"/>
      <c r="DB112" s="17"/>
      <c r="DC112" s="17"/>
      <c r="DD112" s="17"/>
      <c r="DE112" s="17"/>
      <c r="DF112" s="17"/>
      <c r="DG112" s="17"/>
      <c r="DH112" s="17"/>
      <c r="DI112" s="17"/>
      <c r="DJ112" s="17"/>
      <c r="DK112" s="17"/>
      <c r="DL112" s="17"/>
      <c r="DM112" s="17"/>
      <c r="DN112" s="17"/>
      <c r="DO112" s="17"/>
      <c r="DP112" s="17"/>
      <c r="DQ112" s="17"/>
      <c r="DR112" s="17"/>
      <c r="DS112" s="17"/>
      <c r="DT112" s="17"/>
      <c r="DU112" s="17"/>
      <c r="DV112" s="17"/>
      <c r="DW112" s="17"/>
      <c r="DX112" s="17"/>
      <c r="DY112" s="17"/>
      <c r="DZ112" s="17"/>
      <c r="EA112" s="17"/>
      <c r="EB112" s="17"/>
      <c r="EC112" s="17"/>
    </row>
    <row r="113" spans="1:133" x14ac:dyDescent="0.25">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c r="CF113" s="17"/>
      <c r="CG113" s="17"/>
      <c r="CH113" s="17"/>
      <c r="CI113" s="17"/>
      <c r="CJ113" s="17"/>
      <c r="CK113" s="17"/>
      <c r="CL113" s="17"/>
      <c r="CM113" s="17"/>
      <c r="CN113" s="17"/>
      <c r="CO113" s="17"/>
      <c r="CP113" s="17"/>
      <c r="CQ113" s="17"/>
      <c r="CR113" s="17"/>
      <c r="CS113" s="17"/>
      <c r="CT113" s="17"/>
      <c r="CU113" s="17"/>
      <c r="CV113" s="17"/>
      <c r="CW113" s="17"/>
      <c r="CX113" s="17"/>
      <c r="CY113" s="17"/>
      <c r="CZ113" s="17"/>
      <c r="DA113" s="17"/>
      <c r="DB113" s="17"/>
      <c r="DC113" s="17"/>
      <c r="DD113" s="17"/>
      <c r="DE113" s="17"/>
      <c r="DF113" s="17"/>
      <c r="DG113" s="17"/>
      <c r="DH113" s="17"/>
      <c r="DI113" s="17"/>
      <c r="DJ113" s="17"/>
      <c r="DK113" s="17"/>
      <c r="DL113" s="17"/>
      <c r="DM113" s="17"/>
      <c r="DN113" s="17"/>
      <c r="DO113" s="17"/>
      <c r="DP113" s="17"/>
      <c r="DQ113" s="17"/>
      <c r="DR113" s="17"/>
      <c r="DS113" s="17"/>
      <c r="DT113" s="17"/>
      <c r="DU113" s="17"/>
      <c r="DV113" s="17"/>
      <c r="DW113" s="17"/>
      <c r="DX113" s="17"/>
      <c r="DY113" s="17"/>
      <c r="DZ113" s="17"/>
      <c r="EA113" s="17"/>
      <c r="EB113" s="17"/>
      <c r="EC113" s="17"/>
    </row>
    <row r="114" spans="1:133" x14ac:dyDescent="0.25">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c r="CF114" s="17"/>
      <c r="CG114" s="17"/>
      <c r="CH114" s="17"/>
      <c r="CI114" s="17"/>
      <c r="CJ114" s="17"/>
      <c r="CK114" s="17"/>
      <c r="CL114" s="17"/>
      <c r="CM114" s="17"/>
      <c r="CN114" s="17"/>
      <c r="CO114" s="17"/>
      <c r="CP114" s="17"/>
      <c r="CQ114" s="17"/>
      <c r="CR114" s="17"/>
      <c r="CS114" s="17"/>
      <c r="CT114" s="17"/>
      <c r="CU114" s="17"/>
      <c r="CV114" s="17"/>
      <c r="CW114" s="17"/>
      <c r="CX114" s="17"/>
      <c r="CY114" s="17"/>
      <c r="CZ114" s="17"/>
      <c r="DA114" s="17"/>
      <c r="DB114" s="17"/>
      <c r="DC114" s="17"/>
      <c r="DD114" s="17"/>
      <c r="DE114" s="17"/>
      <c r="DF114" s="17"/>
      <c r="DG114" s="17"/>
      <c r="DH114" s="17"/>
      <c r="DI114" s="17"/>
      <c r="DJ114" s="17"/>
      <c r="DK114" s="17"/>
      <c r="DL114" s="17"/>
      <c r="DM114" s="17"/>
      <c r="DN114" s="17"/>
      <c r="DO114" s="17"/>
      <c r="DP114" s="17"/>
      <c r="DQ114" s="17"/>
      <c r="DR114" s="17"/>
      <c r="DS114" s="17"/>
      <c r="DT114" s="17"/>
      <c r="DU114" s="17"/>
      <c r="DV114" s="17"/>
      <c r="DW114" s="17"/>
      <c r="DX114" s="17"/>
      <c r="DY114" s="17"/>
      <c r="DZ114" s="17"/>
      <c r="EA114" s="17"/>
      <c r="EB114" s="17"/>
      <c r="EC114" s="17"/>
    </row>
    <row r="115" spans="1:133" x14ac:dyDescent="0.2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17"/>
      <c r="CH115" s="17"/>
      <c r="CI115" s="17"/>
      <c r="CJ115" s="17"/>
      <c r="CK115" s="17"/>
      <c r="CL115" s="17"/>
      <c r="CM115" s="17"/>
      <c r="CN115" s="17"/>
      <c r="CO115" s="17"/>
      <c r="CP115" s="17"/>
      <c r="CQ115" s="17"/>
      <c r="CR115" s="17"/>
      <c r="CS115" s="17"/>
      <c r="CT115" s="17"/>
      <c r="CU115" s="17"/>
      <c r="CV115" s="17"/>
      <c r="CW115" s="17"/>
      <c r="CX115" s="17"/>
      <c r="CY115" s="17"/>
      <c r="CZ115" s="17"/>
      <c r="DA115" s="17"/>
      <c r="DB115" s="17"/>
      <c r="DC115" s="17"/>
      <c r="DD115" s="17"/>
      <c r="DE115" s="17"/>
      <c r="DF115" s="17"/>
      <c r="DG115" s="17"/>
      <c r="DH115" s="17"/>
      <c r="DI115" s="17"/>
      <c r="DJ115" s="17"/>
      <c r="DK115" s="17"/>
      <c r="DL115" s="17"/>
      <c r="DM115" s="17"/>
      <c r="DN115" s="17"/>
      <c r="DO115" s="17"/>
      <c r="DP115" s="17"/>
      <c r="DQ115" s="17"/>
      <c r="DR115" s="17"/>
      <c r="DS115" s="17"/>
      <c r="DT115" s="17"/>
      <c r="DU115" s="17"/>
      <c r="DV115" s="17"/>
      <c r="DW115" s="17"/>
      <c r="DX115" s="17"/>
      <c r="DY115" s="17"/>
      <c r="DZ115" s="17"/>
      <c r="EA115" s="17"/>
      <c r="EB115" s="17"/>
      <c r="EC115" s="17"/>
    </row>
    <row r="116" spans="1:133" x14ac:dyDescent="0.25">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c r="CF116" s="17"/>
      <c r="CG116" s="17"/>
      <c r="CH116" s="17"/>
      <c r="CI116" s="17"/>
      <c r="CJ116" s="17"/>
      <c r="CK116" s="17"/>
      <c r="CL116" s="17"/>
      <c r="CM116" s="17"/>
      <c r="CN116" s="17"/>
      <c r="CO116" s="17"/>
      <c r="CP116" s="17"/>
      <c r="CQ116" s="17"/>
      <c r="CR116" s="17"/>
      <c r="CS116" s="17"/>
      <c r="CT116" s="17"/>
      <c r="CU116" s="17"/>
      <c r="CV116" s="17"/>
      <c r="CW116" s="17"/>
      <c r="CX116" s="17"/>
      <c r="CY116" s="17"/>
      <c r="CZ116" s="17"/>
      <c r="DA116" s="17"/>
      <c r="DB116" s="17"/>
      <c r="DC116" s="17"/>
      <c r="DD116" s="17"/>
      <c r="DE116" s="17"/>
      <c r="DF116" s="17"/>
      <c r="DG116" s="17"/>
      <c r="DH116" s="17"/>
      <c r="DI116" s="17"/>
      <c r="DJ116" s="17"/>
      <c r="DK116" s="17"/>
      <c r="DL116" s="17"/>
      <c r="DM116" s="17"/>
      <c r="DN116" s="17"/>
      <c r="DO116" s="17"/>
      <c r="DP116" s="17"/>
      <c r="DQ116" s="17"/>
      <c r="DR116" s="17"/>
      <c r="DS116" s="17"/>
      <c r="DT116" s="17"/>
      <c r="DU116" s="17"/>
      <c r="DV116" s="17"/>
      <c r="DW116" s="17"/>
      <c r="DX116" s="17"/>
      <c r="DY116" s="17"/>
      <c r="DZ116" s="17"/>
      <c r="EA116" s="17"/>
      <c r="EB116" s="17"/>
      <c r="EC116" s="17"/>
    </row>
    <row r="117" spans="1:133" x14ac:dyDescent="0.25">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7"/>
      <c r="CK117" s="17"/>
      <c r="CL117" s="17"/>
      <c r="CM117" s="17"/>
      <c r="CN117" s="17"/>
      <c r="CO117" s="17"/>
      <c r="CP117" s="17"/>
      <c r="CQ117" s="17"/>
      <c r="CR117" s="17"/>
      <c r="CS117" s="17"/>
      <c r="CT117" s="17"/>
      <c r="CU117" s="17"/>
      <c r="CV117" s="17"/>
      <c r="CW117" s="17"/>
      <c r="CX117" s="17"/>
      <c r="CY117" s="17"/>
      <c r="CZ117" s="17"/>
      <c r="DA117" s="17"/>
      <c r="DB117" s="17"/>
      <c r="DC117" s="17"/>
      <c r="DD117" s="17"/>
      <c r="DE117" s="17"/>
      <c r="DF117" s="17"/>
      <c r="DG117" s="17"/>
      <c r="DH117" s="17"/>
      <c r="DI117" s="17"/>
      <c r="DJ117" s="17"/>
      <c r="DK117" s="17"/>
      <c r="DL117" s="17"/>
      <c r="DM117" s="17"/>
      <c r="DN117" s="17"/>
      <c r="DO117" s="17"/>
      <c r="DP117" s="17"/>
      <c r="DQ117" s="17"/>
      <c r="DR117" s="17"/>
      <c r="DS117" s="17"/>
      <c r="DT117" s="17"/>
      <c r="DU117" s="17"/>
      <c r="DV117" s="17"/>
      <c r="DW117" s="17"/>
      <c r="DX117" s="17"/>
      <c r="DY117" s="17"/>
      <c r="DZ117" s="17"/>
      <c r="EA117" s="17"/>
      <c r="EB117" s="17"/>
      <c r="EC117" s="17"/>
    </row>
    <row r="118" spans="1:133" x14ac:dyDescent="0.25">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c r="CD118" s="17"/>
      <c r="CE118" s="17"/>
      <c r="CF118" s="17"/>
      <c r="CG118" s="17"/>
      <c r="CH118" s="17"/>
      <c r="CI118" s="17"/>
      <c r="CJ118" s="17"/>
      <c r="CK118" s="17"/>
      <c r="CL118" s="17"/>
      <c r="CM118" s="17"/>
      <c r="CN118" s="17"/>
      <c r="CO118" s="17"/>
      <c r="CP118" s="17"/>
      <c r="CQ118" s="17"/>
      <c r="CR118" s="17"/>
      <c r="CS118" s="17"/>
      <c r="CT118" s="17"/>
      <c r="CU118" s="17"/>
      <c r="CV118" s="17"/>
      <c r="CW118" s="17"/>
      <c r="CX118" s="17"/>
      <c r="CY118" s="17"/>
      <c r="CZ118" s="17"/>
      <c r="DA118" s="17"/>
      <c r="DB118" s="17"/>
      <c r="DC118" s="17"/>
      <c r="DD118" s="17"/>
      <c r="DE118" s="17"/>
      <c r="DF118" s="17"/>
      <c r="DG118" s="17"/>
      <c r="DH118" s="17"/>
      <c r="DI118" s="17"/>
      <c r="DJ118" s="17"/>
      <c r="DK118" s="17"/>
      <c r="DL118" s="17"/>
      <c r="DM118" s="17"/>
      <c r="DN118" s="17"/>
      <c r="DO118" s="17"/>
      <c r="DP118" s="17"/>
      <c r="DQ118" s="17"/>
      <c r="DR118" s="17"/>
      <c r="DS118" s="17"/>
      <c r="DT118" s="17"/>
      <c r="DU118" s="17"/>
      <c r="DV118" s="17"/>
      <c r="DW118" s="17"/>
      <c r="DX118" s="17"/>
      <c r="DY118" s="17"/>
      <c r="DZ118" s="17"/>
      <c r="EA118" s="17"/>
      <c r="EB118" s="17"/>
      <c r="EC118" s="17"/>
    </row>
    <row r="119" spans="1:133" x14ac:dyDescent="0.25">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c r="CF119" s="17"/>
      <c r="CG119" s="17"/>
      <c r="CH119" s="17"/>
      <c r="CI119" s="17"/>
      <c r="CJ119" s="17"/>
      <c r="CK119" s="17"/>
      <c r="CL119" s="17"/>
      <c r="CM119" s="17"/>
      <c r="CN119" s="17"/>
      <c r="CO119" s="17"/>
      <c r="CP119" s="17"/>
      <c r="CQ119" s="17"/>
      <c r="CR119" s="17"/>
      <c r="CS119" s="17"/>
      <c r="CT119" s="17"/>
      <c r="CU119" s="17"/>
      <c r="CV119" s="17"/>
      <c r="CW119" s="17"/>
      <c r="CX119" s="17"/>
      <c r="CY119" s="17"/>
      <c r="CZ119" s="17"/>
      <c r="DA119" s="17"/>
      <c r="DB119" s="17"/>
      <c r="DC119" s="17"/>
      <c r="DD119" s="17"/>
      <c r="DE119" s="17"/>
      <c r="DF119" s="17"/>
      <c r="DG119" s="17"/>
      <c r="DH119" s="17"/>
      <c r="DI119" s="17"/>
      <c r="DJ119" s="17"/>
      <c r="DK119" s="17"/>
      <c r="DL119" s="17"/>
      <c r="DM119" s="17"/>
      <c r="DN119" s="17"/>
      <c r="DO119" s="17"/>
      <c r="DP119" s="17"/>
      <c r="DQ119" s="17"/>
      <c r="DR119" s="17"/>
      <c r="DS119" s="17"/>
      <c r="DT119" s="17"/>
      <c r="DU119" s="17"/>
      <c r="DV119" s="17"/>
      <c r="DW119" s="17"/>
      <c r="DX119" s="17"/>
      <c r="DY119" s="17"/>
      <c r="DZ119" s="17"/>
      <c r="EA119" s="17"/>
      <c r="EB119" s="17"/>
      <c r="EC119" s="17"/>
    </row>
    <row r="120" spans="1:133" x14ac:dyDescent="0.25">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c r="CL120" s="17"/>
      <c r="CM120" s="17"/>
      <c r="CN120" s="17"/>
      <c r="CO120" s="17"/>
      <c r="CP120" s="17"/>
      <c r="CQ120" s="17"/>
      <c r="CR120" s="17"/>
      <c r="CS120" s="17"/>
      <c r="CT120" s="17"/>
      <c r="CU120" s="17"/>
      <c r="CV120" s="17"/>
      <c r="CW120" s="17"/>
      <c r="CX120" s="17"/>
      <c r="CY120" s="17"/>
      <c r="CZ120" s="17"/>
      <c r="DA120" s="17"/>
      <c r="DB120" s="17"/>
      <c r="DC120" s="17"/>
      <c r="DD120" s="17"/>
      <c r="DE120" s="17"/>
      <c r="DF120" s="17"/>
      <c r="DG120" s="17"/>
      <c r="DH120" s="17"/>
      <c r="DI120" s="17"/>
      <c r="DJ120" s="17"/>
      <c r="DK120" s="17"/>
      <c r="DL120" s="17"/>
      <c r="DM120" s="17"/>
      <c r="DN120" s="17"/>
      <c r="DO120" s="17"/>
      <c r="DP120" s="17"/>
      <c r="DQ120" s="17"/>
      <c r="DR120" s="17"/>
      <c r="DS120" s="17"/>
      <c r="DT120" s="17"/>
      <c r="DU120" s="17"/>
      <c r="DV120" s="17"/>
      <c r="DW120" s="17"/>
      <c r="DX120" s="17"/>
      <c r="DY120" s="17"/>
      <c r="DZ120" s="17"/>
      <c r="EA120" s="17"/>
      <c r="EB120" s="17"/>
      <c r="EC120" s="17"/>
    </row>
    <row r="121" spans="1:133" x14ac:dyDescent="0.25">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c r="CF121" s="17"/>
      <c r="CG121" s="17"/>
      <c r="CH121" s="17"/>
      <c r="CI121" s="17"/>
      <c r="CJ121" s="17"/>
      <c r="CK121" s="17"/>
      <c r="CL121" s="17"/>
      <c r="CM121" s="17"/>
      <c r="CN121" s="17"/>
      <c r="CO121" s="17"/>
      <c r="CP121" s="17"/>
      <c r="CQ121" s="17"/>
      <c r="CR121" s="17"/>
      <c r="CS121" s="17"/>
      <c r="CT121" s="17"/>
      <c r="CU121" s="17"/>
      <c r="CV121" s="17"/>
      <c r="CW121" s="17"/>
      <c r="CX121" s="17"/>
      <c r="CY121" s="17"/>
      <c r="CZ121" s="17"/>
      <c r="DA121" s="17"/>
      <c r="DB121" s="17"/>
      <c r="DC121" s="17"/>
      <c r="DD121" s="17"/>
      <c r="DE121" s="17"/>
      <c r="DF121" s="17"/>
      <c r="DG121" s="17"/>
      <c r="DH121" s="17"/>
      <c r="DI121" s="17"/>
      <c r="DJ121" s="17"/>
      <c r="DK121" s="17"/>
      <c r="DL121" s="17"/>
      <c r="DM121" s="17"/>
      <c r="DN121" s="17"/>
      <c r="DO121" s="17"/>
      <c r="DP121" s="17"/>
      <c r="DQ121" s="17"/>
      <c r="DR121" s="17"/>
      <c r="DS121" s="17"/>
      <c r="DT121" s="17"/>
      <c r="DU121" s="17"/>
      <c r="DV121" s="17"/>
      <c r="DW121" s="17"/>
      <c r="DX121" s="17"/>
      <c r="DY121" s="17"/>
      <c r="DZ121" s="17"/>
      <c r="EA121" s="17"/>
      <c r="EB121" s="17"/>
      <c r="EC121" s="17"/>
    </row>
    <row r="122" spans="1:133" x14ac:dyDescent="0.25">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7"/>
      <c r="CK122" s="17"/>
      <c r="CL122" s="17"/>
      <c r="CM122" s="17"/>
      <c r="CN122" s="17"/>
      <c r="CO122" s="17"/>
      <c r="CP122" s="17"/>
      <c r="CQ122" s="17"/>
      <c r="CR122" s="17"/>
      <c r="CS122" s="17"/>
      <c r="CT122" s="17"/>
      <c r="CU122" s="17"/>
      <c r="CV122" s="17"/>
      <c r="CW122" s="17"/>
      <c r="CX122" s="17"/>
      <c r="CY122" s="17"/>
      <c r="CZ122" s="17"/>
      <c r="DA122" s="17"/>
      <c r="DB122" s="17"/>
      <c r="DC122" s="17"/>
      <c r="DD122" s="17"/>
      <c r="DE122" s="17"/>
      <c r="DF122" s="17"/>
      <c r="DG122" s="17"/>
      <c r="DH122" s="17"/>
      <c r="DI122" s="17"/>
      <c r="DJ122" s="17"/>
      <c r="DK122" s="17"/>
      <c r="DL122" s="17"/>
      <c r="DM122" s="17"/>
      <c r="DN122" s="17"/>
      <c r="DO122" s="17"/>
      <c r="DP122" s="17"/>
      <c r="DQ122" s="17"/>
      <c r="DR122" s="17"/>
      <c r="DS122" s="17"/>
      <c r="DT122" s="17"/>
      <c r="DU122" s="17"/>
      <c r="DV122" s="17"/>
      <c r="DW122" s="17"/>
      <c r="DX122" s="17"/>
      <c r="DY122" s="17"/>
      <c r="DZ122" s="17"/>
      <c r="EA122" s="17"/>
      <c r="EB122" s="17"/>
      <c r="EC122" s="17"/>
    </row>
    <row r="123" spans="1:133" x14ac:dyDescent="0.25">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c r="CD123" s="17"/>
      <c r="CE123" s="17"/>
      <c r="CF123" s="17"/>
      <c r="CG123" s="17"/>
      <c r="CH123" s="17"/>
      <c r="CI123" s="17"/>
      <c r="CJ123" s="17"/>
      <c r="CK123" s="17"/>
      <c r="CL123" s="17"/>
      <c r="CM123" s="17"/>
      <c r="CN123" s="17"/>
      <c r="CO123" s="17"/>
      <c r="CP123" s="17"/>
      <c r="CQ123" s="17"/>
      <c r="CR123" s="17"/>
      <c r="CS123" s="17"/>
      <c r="CT123" s="17"/>
      <c r="CU123" s="17"/>
      <c r="CV123" s="17"/>
      <c r="CW123" s="17"/>
      <c r="CX123" s="17"/>
      <c r="CY123" s="17"/>
      <c r="CZ123" s="17"/>
      <c r="DA123" s="17"/>
      <c r="DB123" s="17"/>
      <c r="DC123" s="17"/>
      <c r="DD123" s="17"/>
      <c r="DE123" s="17"/>
      <c r="DF123" s="17"/>
      <c r="DG123" s="17"/>
      <c r="DH123" s="17"/>
      <c r="DI123" s="17"/>
      <c r="DJ123" s="17"/>
      <c r="DK123" s="17"/>
      <c r="DL123" s="17"/>
      <c r="DM123" s="17"/>
      <c r="DN123" s="17"/>
      <c r="DO123" s="17"/>
      <c r="DP123" s="17"/>
      <c r="DQ123" s="17"/>
      <c r="DR123" s="17"/>
      <c r="DS123" s="17"/>
      <c r="DT123" s="17"/>
      <c r="DU123" s="17"/>
      <c r="DV123" s="17"/>
      <c r="DW123" s="17"/>
      <c r="DX123" s="17"/>
      <c r="DY123" s="17"/>
      <c r="DZ123" s="17"/>
      <c r="EA123" s="17"/>
      <c r="EB123" s="17"/>
      <c r="EC123" s="17"/>
    </row>
    <row r="124" spans="1:133" x14ac:dyDescent="0.25">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c r="CL124" s="17"/>
      <c r="CM124" s="17"/>
      <c r="CN124" s="17"/>
      <c r="CO124" s="17"/>
      <c r="CP124" s="17"/>
      <c r="CQ124" s="17"/>
      <c r="CR124" s="17"/>
      <c r="CS124" s="17"/>
      <c r="CT124" s="17"/>
      <c r="CU124" s="17"/>
      <c r="CV124" s="17"/>
      <c r="CW124" s="17"/>
      <c r="CX124" s="17"/>
      <c r="CY124" s="17"/>
      <c r="CZ124" s="17"/>
      <c r="DA124" s="17"/>
      <c r="DB124" s="17"/>
      <c r="DC124" s="17"/>
      <c r="DD124" s="17"/>
      <c r="DE124" s="17"/>
      <c r="DF124" s="17"/>
      <c r="DG124" s="17"/>
      <c r="DH124" s="17"/>
      <c r="DI124" s="17"/>
      <c r="DJ124" s="17"/>
      <c r="DK124" s="17"/>
      <c r="DL124" s="17"/>
      <c r="DM124" s="17"/>
      <c r="DN124" s="17"/>
      <c r="DO124" s="17"/>
      <c r="DP124" s="17"/>
      <c r="DQ124" s="17"/>
      <c r="DR124" s="17"/>
      <c r="DS124" s="17"/>
      <c r="DT124" s="17"/>
      <c r="DU124" s="17"/>
      <c r="DV124" s="17"/>
      <c r="DW124" s="17"/>
      <c r="DX124" s="17"/>
      <c r="DY124" s="17"/>
      <c r="DZ124" s="17"/>
      <c r="EA124" s="17"/>
      <c r="EB124" s="17"/>
      <c r="EC124" s="17"/>
    </row>
    <row r="125" spans="1:133" x14ac:dyDescent="0.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c r="CO125" s="17"/>
      <c r="CP125" s="17"/>
      <c r="CQ125" s="17"/>
      <c r="CR125" s="17"/>
      <c r="CS125" s="17"/>
      <c r="CT125" s="17"/>
      <c r="CU125" s="17"/>
      <c r="CV125" s="17"/>
      <c r="CW125" s="17"/>
      <c r="CX125" s="17"/>
      <c r="CY125" s="17"/>
      <c r="CZ125" s="17"/>
      <c r="DA125" s="17"/>
      <c r="DB125" s="17"/>
      <c r="DC125" s="17"/>
      <c r="DD125" s="17"/>
      <c r="DE125" s="17"/>
      <c r="DF125" s="17"/>
      <c r="DG125" s="17"/>
      <c r="DH125" s="17"/>
      <c r="DI125" s="17"/>
      <c r="DJ125" s="17"/>
      <c r="DK125" s="17"/>
      <c r="DL125" s="17"/>
      <c r="DM125" s="17"/>
      <c r="DN125" s="17"/>
      <c r="DO125" s="17"/>
      <c r="DP125" s="17"/>
      <c r="DQ125" s="17"/>
      <c r="DR125" s="17"/>
      <c r="DS125" s="17"/>
      <c r="DT125" s="17"/>
      <c r="DU125" s="17"/>
      <c r="DV125" s="17"/>
      <c r="DW125" s="17"/>
      <c r="DX125" s="17"/>
      <c r="DY125" s="17"/>
      <c r="DZ125" s="17"/>
      <c r="EA125" s="17"/>
      <c r="EB125" s="17"/>
      <c r="EC125" s="17"/>
    </row>
    <row r="126" spans="1:133" x14ac:dyDescent="0.25">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c r="CL126" s="17"/>
      <c r="CM126" s="17"/>
      <c r="CN126" s="17"/>
      <c r="CO126" s="17"/>
      <c r="CP126" s="17"/>
      <c r="CQ126" s="17"/>
      <c r="CR126" s="17"/>
      <c r="CS126" s="17"/>
      <c r="CT126" s="17"/>
      <c r="CU126" s="17"/>
      <c r="CV126" s="17"/>
      <c r="CW126" s="17"/>
      <c r="CX126" s="17"/>
      <c r="CY126" s="17"/>
      <c r="CZ126" s="17"/>
      <c r="DA126" s="17"/>
      <c r="DB126" s="17"/>
      <c r="DC126" s="17"/>
      <c r="DD126" s="17"/>
      <c r="DE126" s="17"/>
      <c r="DF126" s="17"/>
      <c r="DG126" s="17"/>
      <c r="DH126" s="17"/>
      <c r="DI126" s="17"/>
      <c r="DJ126" s="17"/>
      <c r="DK126" s="17"/>
      <c r="DL126" s="17"/>
      <c r="DM126" s="17"/>
      <c r="DN126" s="17"/>
      <c r="DO126" s="17"/>
      <c r="DP126" s="17"/>
      <c r="DQ126" s="17"/>
      <c r="DR126" s="17"/>
      <c r="DS126" s="17"/>
      <c r="DT126" s="17"/>
      <c r="DU126" s="17"/>
      <c r="DV126" s="17"/>
      <c r="DW126" s="17"/>
      <c r="DX126" s="17"/>
      <c r="DY126" s="17"/>
      <c r="DZ126" s="17"/>
      <c r="EA126" s="17"/>
      <c r="EB126" s="17"/>
      <c r="EC126" s="17"/>
    </row>
    <row r="127" spans="1:133" x14ac:dyDescent="0.25">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c r="CO127" s="17"/>
      <c r="CP127" s="17"/>
      <c r="CQ127" s="17"/>
      <c r="CR127" s="17"/>
      <c r="CS127" s="17"/>
      <c r="CT127" s="17"/>
      <c r="CU127" s="17"/>
      <c r="CV127" s="17"/>
      <c r="CW127" s="17"/>
      <c r="CX127" s="17"/>
      <c r="CY127" s="17"/>
      <c r="CZ127" s="17"/>
      <c r="DA127" s="17"/>
      <c r="DB127" s="17"/>
      <c r="DC127" s="17"/>
      <c r="DD127" s="17"/>
      <c r="DE127" s="17"/>
      <c r="DF127" s="17"/>
      <c r="DG127" s="17"/>
      <c r="DH127" s="17"/>
      <c r="DI127" s="17"/>
      <c r="DJ127" s="17"/>
      <c r="DK127" s="17"/>
      <c r="DL127" s="17"/>
      <c r="DM127" s="17"/>
      <c r="DN127" s="17"/>
      <c r="DO127" s="17"/>
      <c r="DP127" s="17"/>
      <c r="DQ127" s="17"/>
      <c r="DR127" s="17"/>
      <c r="DS127" s="17"/>
      <c r="DT127" s="17"/>
      <c r="DU127" s="17"/>
      <c r="DV127" s="17"/>
      <c r="DW127" s="17"/>
      <c r="DX127" s="17"/>
      <c r="DY127" s="17"/>
      <c r="DZ127" s="17"/>
      <c r="EA127" s="17"/>
      <c r="EB127" s="17"/>
      <c r="EC127" s="17"/>
    </row>
    <row r="128" spans="1:133" x14ac:dyDescent="0.25">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c r="CO128" s="17"/>
      <c r="CP128" s="17"/>
      <c r="CQ128" s="17"/>
      <c r="CR128" s="17"/>
      <c r="CS128" s="17"/>
      <c r="CT128" s="17"/>
      <c r="CU128" s="17"/>
      <c r="CV128" s="17"/>
      <c r="CW128" s="17"/>
      <c r="CX128" s="17"/>
      <c r="CY128" s="17"/>
      <c r="CZ128" s="17"/>
      <c r="DA128" s="17"/>
      <c r="DB128" s="17"/>
      <c r="DC128" s="17"/>
      <c r="DD128" s="17"/>
      <c r="DE128" s="17"/>
      <c r="DF128" s="17"/>
      <c r="DG128" s="17"/>
      <c r="DH128" s="17"/>
      <c r="DI128" s="17"/>
      <c r="DJ128" s="17"/>
      <c r="DK128" s="17"/>
      <c r="DL128" s="17"/>
      <c r="DM128" s="17"/>
      <c r="DN128" s="17"/>
      <c r="DO128" s="17"/>
      <c r="DP128" s="17"/>
      <c r="DQ128" s="17"/>
      <c r="DR128" s="17"/>
      <c r="DS128" s="17"/>
      <c r="DT128" s="17"/>
      <c r="DU128" s="17"/>
      <c r="DV128" s="17"/>
      <c r="DW128" s="17"/>
      <c r="DX128" s="17"/>
      <c r="DY128" s="17"/>
      <c r="DZ128" s="17"/>
      <c r="EA128" s="17"/>
      <c r="EB128" s="17"/>
      <c r="EC128" s="17"/>
    </row>
    <row r="129" spans="1:133" x14ac:dyDescent="0.25">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c r="CL129" s="17"/>
      <c r="CM129" s="17"/>
      <c r="CN129" s="17"/>
      <c r="CO129" s="17"/>
      <c r="CP129" s="17"/>
      <c r="CQ129" s="17"/>
      <c r="CR129" s="17"/>
      <c r="CS129" s="17"/>
      <c r="CT129" s="17"/>
      <c r="CU129" s="17"/>
      <c r="CV129" s="17"/>
      <c r="CW129" s="17"/>
      <c r="CX129" s="17"/>
      <c r="CY129" s="17"/>
      <c r="CZ129" s="17"/>
      <c r="DA129" s="17"/>
      <c r="DB129" s="17"/>
      <c r="DC129" s="17"/>
      <c r="DD129" s="17"/>
      <c r="DE129" s="17"/>
      <c r="DF129" s="17"/>
      <c r="DG129" s="17"/>
      <c r="DH129" s="17"/>
      <c r="DI129" s="17"/>
      <c r="DJ129" s="17"/>
      <c r="DK129" s="17"/>
      <c r="DL129" s="17"/>
      <c r="DM129" s="17"/>
      <c r="DN129" s="17"/>
      <c r="DO129" s="17"/>
      <c r="DP129" s="17"/>
      <c r="DQ129" s="17"/>
      <c r="DR129" s="17"/>
      <c r="DS129" s="17"/>
      <c r="DT129" s="17"/>
      <c r="DU129" s="17"/>
      <c r="DV129" s="17"/>
      <c r="DW129" s="17"/>
      <c r="DX129" s="17"/>
      <c r="DY129" s="17"/>
      <c r="DZ129" s="17"/>
      <c r="EA129" s="17"/>
      <c r="EB129" s="17"/>
      <c r="EC129" s="17"/>
    </row>
    <row r="130" spans="1:133" x14ac:dyDescent="0.25">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c r="CL130" s="17"/>
      <c r="CM130" s="17"/>
      <c r="CN130" s="17"/>
      <c r="CO130" s="17"/>
      <c r="CP130" s="17"/>
      <c r="CQ130" s="17"/>
      <c r="CR130" s="17"/>
      <c r="CS130" s="17"/>
      <c r="CT130" s="17"/>
      <c r="CU130" s="17"/>
      <c r="CV130" s="17"/>
      <c r="CW130" s="17"/>
      <c r="CX130" s="17"/>
      <c r="CY130" s="17"/>
      <c r="CZ130" s="17"/>
      <c r="DA130" s="17"/>
      <c r="DB130" s="17"/>
      <c r="DC130" s="17"/>
      <c r="DD130" s="17"/>
      <c r="DE130" s="17"/>
      <c r="DF130" s="17"/>
      <c r="DG130" s="17"/>
      <c r="DH130" s="17"/>
      <c r="DI130" s="17"/>
      <c r="DJ130" s="17"/>
      <c r="DK130" s="17"/>
      <c r="DL130" s="17"/>
      <c r="DM130" s="17"/>
      <c r="DN130" s="17"/>
      <c r="DO130" s="17"/>
      <c r="DP130" s="17"/>
      <c r="DQ130" s="17"/>
      <c r="DR130" s="17"/>
      <c r="DS130" s="17"/>
      <c r="DT130" s="17"/>
      <c r="DU130" s="17"/>
      <c r="DV130" s="17"/>
      <c r="DW130" s="17"/>
      <c r="DX130" s="17"/>
      <c r="DY130" s="17"/>
      <c r="DZ130" s="17"/>
      <c r="EA130" s="17"/>
      <c r="EB130" s="17"/>
      <c r="EC130" s="17"/>
    </row>
    <row r="131" spans="1:133" x14ac:dyDescent="0.25">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c r="CF131" s="17"/>
      <c r="CG131" s="17"/>
      <c r="CH131" s="17"/>
      <c r="CI131" s="17"/>
      <c r="CJ131" s="17"/>
      <c r="CK131" s="17"/>
      <c r="CL131" s="17"/>
      <c r="CM131" s="17"/>
      <c r="CN131" s="17"/>
      <c r="CO131" s="17"/>
      <c r="CP131" s="17"/>
      <c r="CQ131" s="17"/>
      <c r="CR131" s="17"/>
      <c r="CS131" s="17"/>
      <c r="CT131" s="17"/>
      <c r="CU131" s="17"/>
      <c r="CV131" s="17"/>
      <c r="CW131" s="17"/>
      <c r="CX131" s="17"/>
      <c r="CY131" s="17"/>
      <c r="CZ131" s="17"/>
      <c r="DA131" s="17"/>
      <c r="DB131" s="17"/>
      <c r="DC131" s="17"/>
      <c r="DD131" s="17"/>
      <c r="DE131" s="17"/>
      <c r="DF131" s="17"/>
      <c r="DG131" s="17"/>
      <c r="DH131" s="17"/>
      <c r="DI131" s="17"/>
      <c r="DJ131" s="17"/>
      <c r="DK131" s="17"/>
      <c r="DL131" s="17"/>
      <c r="DM131" s="17"/>
      <c r="DN131" s="17"/>
      <c r="DO131" s="17"/>
      <c r="DP131" s="17"/>
      <c r="DQ131" s="17"/>
      <c r="DR131" s="17"/>
      <c r="DS131" s="17"/>
      <c r="DT131" s="17"/>
      <c r="DU131" s="17"/>
      <c r="DV131" s="17"/>
      <c r="DW131" s="17"/>
      <c r="DX131" s="17"/>
      <c r="DY131" s="17"/>
      <c r="DZ131" s="17"/>
      <c r="EA131" s="17"/>
      <c r="EB131" s="17"/>
      <c r="EC131" s="17"/>
    </row>
    <row r="132" spans="1:133" x14ac:dyDescent="0.25">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7"/>
      <c r="CK132" s="17"/>
      <c r="CL132" s="17"/>
      <c r="CM132" s="17"/>
      <c r="CN132" s="17"/>
      <c r="CO132" s="17"/>
      <c r="CP132" s="17"/>
      <c r="CQ132" s="17"/>
      <c r="CR132" s="17"/>
      <c r="CS132" s="17"/>
      <c r="CT132" s="17"/>
      <c r="CU132" s="17"/>
      <c r="CV132" s="17"/>
      <c r="CW132" s="17"/>
      <c r="CX132" s="17"/>
      <c r="CY132" s="17"/>
      <c r="CZ132" s="17"/>
      <c r="DA132" s="17"/>
      <c r="DB132" s="17"/>
      <c r="DC132" s="17"/>
      <c r="DD132" s="17"/>
      <c r="DE132" s="17"/>
      <c r="DF132" s="17"/>
      <c r="DG132" s="17"/>
      <c r="DH132" s="17"/>
      <c r="DI132" s="17"/>
      <c r="DJ132" s="17"/>
      <c r="DK132" s="17"/>
      <c r="DL132" s="17"/>
      <c r="DM132" s="17"/>
      <c r="DN132" s="17"/>
      <c r="DO132" s="17"/>
      <c r="DP132" s="17"/>
      <c r="DQ132" s="17"/>
      <c r="DR132" s="17"/>
      <c r="DS132" s="17"/>
      <c r="DT132" s="17"/>
      <c r="DU132" s="17"/>
      <c r="DV132" s="17"/>
      <c r="DW132" s="17"/>
      <c r="DX132" s="17"/>
      <c r="DY132" s="17"/>
      <c r="DZ132" s="17"/>
      <c r="EA132" s="17"/>
      <c r="EB132" s="17"/>
      <c r="EC132" s="17"/>
    </row>
    <row r="133" spans="1:133" x14ac:dyDescent="0.25">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17"/>
      <c r="CH133" s="17"/>
      <c r="CI133" s="17"/>
      <c r="CJ133" s="17"/>
      <c r="CK133" s="17"/>
      <c r="CL133" s="17"/>
      <c r="CM133" s="17"/>
      <c r="CN133" s="17"/>
      <c r="CO133" s="17"/>
      <c r="CP133" s="17"/>
      <c r="CQ133" s="17"/>
      <c r="CR133" s="17"/>
      <c r="CS133" s="17"/>
      <c r="CT133" s="17"/>
      <c r="CU133" s="17"/>
      <c r="CV133" s="17"/>
      <c r="CW133" s="17"/>
      <c r="CX133" s="17"/>
      <c r="CY133" s="17"/>
      <c r="CZ133" s="17"/>
      <c r="DA133" s="17"/>
      <c r="DB133" s="17"/>
      <c r="DC133" s="17"/>
      <c r="DD133" s="17"/>
      <c r="DE133" s="17"/>
      <c r="DF133" s="17"/>
      <c r="DG133" s="17"/>
      <c r="DH133" s="17"/>
      <c r="DI133" s="17"/>
      <c r="DJ133" s="17"/>
      <c r="DK133" s="17"/>
      <c r="DL133" s="17"/>
      <c r="DM133" s="17"/>
      <c r="DN133" s="17"/>
      <c r="DO133" s="17"/>
      <c r="DP133" s="17"/>
      <c r="DQ133" s="17"/>
      <c r="DR133" s="17"/>
      <c r="DS133" s="17"/>
      <c r="DT133" s="17"/>
      <c r="DU133" s="17"/>
      <c r="DV133" s="17"/>
      <c r="DW133" s="17"/>
      <c r="DX133" s="17"/>
      <c r="DY133" s="17"/>
      <c r="DZ133" s="17"/>
      <c r="EA133" s="17"/>
      <c r="EB133" s="17"/>
      <c r="EC133" s="17"/>
    </row>
    <row r="134" spans="1:133" x14ac:dyDescent="0.25">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c r="CO134" s="17"/>
      <c r="CP134" s="17"/>
      <c r="CQ134" s="17"/>
      <c r="CR134" s="17"/>
      <c r="CS134" s="17"/>
      <c r="CT134" s="17"/>
      <c r="CU134" s="17"/>
      <c r="CV134" s="17"/>
      <c r="CW134" s="17"/>
      <c r="CX134" s="17"/>
      <c r="CY134" s="17"/>
      <c r="CZ134" s="17"/>
      <c r="DA134" s="17"/>
      <c r="DB134" s="17"/>
      <c r="DC134" s="17"/>
      <c r="DD134" s="17"/>
      <c r="DE134" s="17"/>
      <c r="DF134" s="17"/>
      <c r="DG134" s="17"/>
      <c r="DH134" s="17"/>
      <c r="DI134" s="17"/>
      <c r="DJ134" s="17"/>
      <c r="DK134" s="17"/>
      <c r="DL134" s="17"/>
      <c r="DM134" s="17"/>
      <c r="DN134" s="17"/>
      <c r="DO134" s="17"/>
      <c r="DP134" s="17"/>
      <c r="DQ134" s="17"/>
      <c r="DR134" s="17"/>
      <c r="DS134" s="17"/>
      <c r="DT134" s="17"/>
      <c r="DU134" s="17"/>
      <c r="DV134" s="17"/>
      <c r="DW134" s="17"/>
      <c r="DX134" s="17"/>
      <c r="DY134" s="17"/>
      <c r="DZ134" s="17"/>
      <c r="EA134" s="17"/>
      <c r="EB134" s="17"/>
      <c r="EC134" s="17"/>
    </row>
    <row r="135" spans="1:133" x14ac:dyDescent="0.2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c r="CL135" s="17"/>
      <c r="CM135" s="17"/>
      <c r="CN135" s="17"/>
      <c r="CO135" s="17"/>
      <c r="CP135" s="17"/>
      <c r="CQ135" s="17"/>
      <c r="CR135" s="17"/>
      <c r="CS135" s="17"/>
      <c r="CT135" s="17"/>
      <c r="CU135" s="17"/>
      <c r="CV135" s="17"/>
      <c r="CW135" s="17"/>
      <c r="CX135" s="17"/>
      <c r="CY135" s="17"/>
      <c r="CZ135" s="17"/>
      <c r="DA135" s="17"/>
      <c r="DB135" s="17"/>
      <c r="DC135" s="17"/>
      <c r="DD135" s="17"/>
      <c r="DE135" s="17"/>
      <c r="DF135" s="17"/>
      <c r="DG135" s="17"/>
      <c r="DH135" s="17"/>
      <c r="DI135" s="17"/>
      <c r="DJ135" s="17"/>
      <c r="DK135" s="17"/>
      <c r="DL135" s="17"/>
      <c r="DM135" s="17"/>
      <c r="DN135" s="17"/>
      <c r="DO135" s="17"/>
      <c r="DP135" s="17"/>
      <c r="DQ135" s="17"/>
      <c r="DR135" s="17"/>
      <c r="DS135" s="17"/>
      <c r="DT135" s="17"/>
      <c r="DU135" s="17"/>
      <c r="DV135" s="17"/>
      <c r="DW135" s="17"/>
      <c r="DX135" s="17"/>
      <c r="DY135" s="17"/>
      <c r="DZ135" s="17"/>
      <c r="EA135" s="17"/>
      <c r="EB135" s="17"/>
      <c r="EC135" s="17"/>
    </row>
    <row r="136" spans="1:133" x14ac:dyDescent="0.25">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c r="CF136" s="17"/>
      <c r="CG136" s="17"/>
      <c r="CH136" s="17"/>
      <c r="CI136" s="17"/>
      <c r="CJ136" s="17"/>
      <c r="CK136" s="17"/>
      <c r="CL136" s="17"/>
      <c r="CM136" s="17"/>
      <c r="CN136" s="17"/>
      <c r="CO136" s="17"/>
      <c r="CP136" s="17"/>
      <c r="CQ136" s="17"/>
      <c r="CR136" s="17"/>
      <c r="CS136" s="17"/>
      <c r="CT136" s="17"/>
      <c r="CU136" s="17"/>
      <c r="CV136" s="17"/>
      <c r="CW136" s="17"/>
      <c r="CX136" s="17"/>
      <c r="CY136" s="17"/>
      <c r="CZ136" s="17"/>
      <c r="DA136" s="17"/>
      <c r="DB136" s="17"/>
      <c r="DC136" s="17"/>
      <c r="DD136" s="17"/>
      <c r="DE136" s="17"/>
      <c r="DF136" s="17"/>
      <c r="DG136" s="17"/>
      <c r="DH136" s="17"/>
      <c r="DI136" s="17"/>
      <c r="DJ136" s="17"/>
      <c r="DK136" s="17"/>
      <c r="DL136" s="17"/>
      <c r="DM136" s="17"/>
      <c r="DN136" s="17"/>
      <c r="DO136" s="17"/>
      <c r="DP136" s="17"/>
      <c r="DQ136" s="17"/>
      <c r="DR136" s="17"/>
      <c r="DS136" s="17"/>
      <c r="DT136" s="17"/>
      <c r="DU136" s="17"/>
      <c r="DV136" s="17"/>
      <c r="DW136" s="17"/>
      <c r="DX136" s="17"/>
      <c r="DY136" s="17"/>
      <c r="DZ136" s="17"/>
      <c r="EA136" s="17"/>
      <c r="EB136" s="17"/>
      <c r="EC136" s="17"/>
    </row>
    <row r="137" spans="1:133" x14ac:dyDescent="0.25">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c r="CL137" s="17"/>
      <c r="CM137" s="17"/>
      <c r="CN137" s="17"/>
      <c r="CO137" s="17"/>
      <c r="CP137" s="17"/>
      <c r="CQ137" s="17"/>
      <c r="CR137" s="17"/>
      <c r="CS137" s="17"/>
      <c r="CT137" s="17"/>
      <c r="CU137" s="17"/>
      <c r="CV137" s="17"/>
      <c r="CW137" s="17"/>
      <c r="CX137" s="17"/>
      <c r="CY137" s="17"/>
      <c r="CZ137" s="17"/>
      <c r="DA137" s="17"/>
      <c r="DB137" s="17"/>
      <c r="DC137" s="17"/>
      <c r="DD137" s="17"/>
      <c r="DE137" s="17"/>
      <c r="DF137" s="17"/>
      <c r="DG137" s="17"/>
      <c r="DH137" s="17"/>
      <c r="DI137" s="17"/>
      <c r="DJ137" s="17"/>
      <c r="DK137" s="17"/>
      <c r="DL137" s="17"/>
      <c r="DM137" s="17"/>
      <c r="DN137" s="17"/>
      <c r="DO137" s="17"/>
      <c r="DP137" s="17"/>
      <c r="DQ137" s="17"/>
      <c r="DR137" s="17"/>
      <c r="DS137" s="17"/>
      <c r="DT137" s="17"/>
      <c r="DU137" s="17"/>
      <c r="DV137" s="17"/>
      <c r="DW137" s="17"/>
      <c r="DX137" s="17"/>
      <c r="DY137" s="17"/>
      <c r="DZ137" s="17"/>
      <c r="EA137" s="17"/>
      <c r="EB137" s="17"/>
      <c r="EC137" s="17"/>
    </row>
    <row r="138" spans="1:133" x14ac:dyDescent="0.25">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c r="CL138" s="17"/>
      <c r="CM138" s="17"/>
      <c r="CN138" s="17"/>
      <c r="CO138" s="17"/>
      <c r="CP138" s="17"/>
      <c r="CQ138" s="17"/>
      <c r="CR138" s="17"/>
      <c r="CS138" s="17"/>
      <c r="CT138" s="17"/>
      <c r="CU138" s="17"/>
      <c r="CV138" s="17"/>
      <c r="CW138" s="17"/>
      <c r="CX138" s="17"/>
      <c r="CY138" s="17"/>
      <c r="CZ138" s="17"/>
      <c r="DA138" s="17"/>
      <c r="DB138" s="17"/>
      <c r="DC138" s="17"/>
      <c r="DD138" s="17"/>
      <c r="DE138" s="17"/>
      <c r="DF138" s="17"/>
      <c r="DG138" s="17"/>
      <c r="DH138" s="17"/>
      <c r="DI138" s="17"/>
      <c r="DJ138" s="17"/>
      <c r="DK138" s="17"/>
      <c r="DL138" s="17"/>
      <c r="DM138" s="17"/>
      <c r="DN138" s="17"/>
      <c r="DO138" s="17"/>
      <c r="DP138" s="17"/>
      <c r="DQ138" s="17"/>
      <c r="DR138" s="17"/>
      <c r="DS138" s="17"/>
      <c r="DT138" s="17"/>
      <c r="DU138" s="17"/>
      <c r="DV138" s="17"/>
      <c r="DW138" s="17"/>
      <c r="DX138" s="17"/>
      <c r="DY138" s="17"/>
      <c r="DZ138" s="17"/>
      <c r="EA138" s="17"/>
      <c r="EB138" s="17"/>
      <c r="EC138" s="17"/>
    </row>
    <row r="139" spans="1:133" x14ac:dyDescent="0.25">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c r="CC139" s="17"/>
      <c r="CD139" s="17"/>
      <c r="CE139" s="17"/>
      <c r="CF139" s="17"/>
      <c r="CG139" s="17"/>
      <c r="CH139" s="17"/>
      <c r="CI139" s="17"/>
      <c r="CJ139" s="17"/>
      <c r="CK139" s="17"/>
      <c r="CL139" s="17"/>
      <c r="CM139" s="17"/>
      <c r="CN139" s="17"/>
      <c r="CO139" s="17"/>
      <c r="CP139" s="17"/>
      <c r="CQ139" s="17"/>
      <c r="CR139" s="17"/>
      <c r="CS139" s="17"/>
      <c r="CT139" s="17"/>
      <c r="CU139" s="17"/>
      <c r="CV139" s="17"/>
      <c r="CW139" s="17"/>
      <c r="CX139" s="17"/>
      <c r="CY139" s="17"/>
      <c r="CZ139" s="17"/>
      <c r="DA139" s="17"/>
      <c r="DB139" s="17"/>
      <c r="DC139" s="17"/>
      <c r="DD139" s="17"/>
      <c r="DE139" s="17"/>
      <c r="DF139" s="17"/>
      <c r="DG139" s="17"/>
      <c r="DH139" s="17"/>
      <c r="DI139" s="17"/>
      <c r="DJ139" s="17"/>
      <c r="DK139" s="17"/>
      <c r="DL139" s="17"/>
      <c r="DM139" s="17"/>
      <c r="DN139" s="17"/>
      <c r="DO139" s="17"/>
      <c r="DP139" s="17"/>
      <c r="DQ139" s="17"/>
      <c r="DR139" s="17"/>
      <c r="DS139" s="17"/>
      <c r="DT139" s="17"/>
      <c r="DU139" s="17"/>
      <c r="DV139" s="17"/>
      <c r="DW139" s="17"/>
      <c r="DX139" s="17"/>
      <c r="DY139" s="17"/>
      <c r="DZ139" s="17"/>
      <c r="EA139" s="17"/>
      <c r="EB139" s="17"/>
      <c r="EC139" s="17"/>
    </row>
    <row r="140" spans="1:133" x14ac:dyDescent="0.25">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17"/>
      <c r="CH140" s="17"/>
      <c r="CI140" s="17"/>
      <c r="CJ140" s="17"/>
      <c r="CK140" s="17"/>
      <c r="CL140" s="17"/>
      <c r="CM140" s="17"/>
      <c r="CN140" s="17"/>
      <c r="CO140" s="17"/>
      <c r="CP140" s="17"/>
      <c r="CQ140" s="17"/>
      <c r="CR140" s="17"/>
      <c r="CS140" s="17"/>
      <c r="CT140" s="17"/>
      <c r="CU140" s="17"/>
      <c r="CV140" s="17"/>
      <c r="CW140" s="17"/>
      <c r="CX140" s="17"/>
      <c r="CY140" s="17"/>
      <c r="CZ140" s="17"/>
      <c r="DA140" s="17"/>
      <c r="DB140" s="17"/>
      <c r="DC140" s="17"/>
      <c r="DD140" s="17"/>
      <c r="DE140" s="17"/>
      <c r="DF140" s="17"/>
      <c r="DG140" s="17"/>
      <c r="DH140" s="17"/>
      <c r="DI140" s="17"/>
      <c r="DJ140" s="17"/>
      <c r="DK140" s="17"/>
      <c r="DL140" s="17"/>
      <c r="DM140" s="17"/>
      <c r="DN140" s="17"/>
      <c r="DO140" s="17"/>
      <c r="DP140" s="17"/>
      <c r="DQ140" s="17"/>
      <c r="DR140" s="17"/>
      <c r="DS140" s="17"/>
      <c r="DT140" s="17"/>
      <c r="DU140" s="17"/>
      <c r="DV140" s="17"/>
      <c r="DW140" s="17"/>
      <c r="DX140" s="17"/>
      <c r="DY140" s="17"/>
      <c r="DZ140" s="17"/>
      <c r="EA140" s="17"/>
      <c r="EB140" s="17"/>
      <c r="EC140" s="17"/>
    </row>
    <row r="141" spans="1:133" x14ac:dyDescent="0.25">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c r="CC141" s="17"/>
      <c r="CD141" s="17"/>
      <c r="CE141" s="17"/>
      <c r="CF141" s="17"/>
      <c r="CG141" s="17"/>
      <c r="CH141" s="17"/>
      <c r="CI141" s="17"/>
      <c r="CJ141" s="17"/>
      <c r="CK141" s="17"/>
      <c r="CL141" s="17"/>
      <c r="CM141" s="17"/>
      <c r="CN141" s="17"/>
      <c r="CO141" s="17"/>
      <c r="CP141" s="17"/>
      <c r="CQ141" s="17"/>
      <c r="CR141" s="17"/>
      <c r="CS141" s="17"/>
      <c r="CT141" s="17"/>
      <c r="CU141" s="17"/>
      <c r="CV141" s="17"/>
      <c r="CW141" s="17"/>
      <c r="CX141" s="17"/>
      <c r="CY141" s="17"/>
      <c r="CZ141" s="17"/>
      <c r="DA141" s="17"/>
      <c r="DB141" s="17"/>
      <c r="DC141" s="17"/>
      <c r="DD141" s="17"/>
      <c r="DE141" s="17"/>
      <c r="DF141" s="17"/>
      <c r="DG141" s="17"/>
      <c r="DH141" s="17"/>
      <c r="DI141" s="17"/>
      <c r="DJ141" s="17"/>
      <c r="DK141" s="17"/>
      <c r="DL141" s="17"/>
      <c r="DM141" s="17"/>
      <c r="DN141" s="17"/>
      <c r="DO141" s="17"/>
      <c r="DP141" s="17"/>
      <c r="DQ141" s="17"/>
      <c r="DR141" s="17"/>
      <c r="DS141" s="17"/>
      <c r="DT141" s="17"/>
      <c r="DU141" s="17"/>
      <c r="DV141" s="17"/>
      <c r="DW141" s="17"/>
      <c r="DX141" s="17"/>
      <c r="DY141" s="17"/>
      <c r="DZ141" s="17"/>
      <c r="EA141" s="17"/>
      <c r="EB141" s="17"/>
      <c r="EC141" s="17"/>
    </row>
    <row r="142" spans="1:133" x14ac:dyDescent="0.25">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c r="CL142" s="17"/>
      <c r="CM142" s="17"/>
      <c r="CN142" s="17"/>
      <c r="CO142" s="17"/>
      <c r="CP142" s="17"/>
      <c r="CQ142" s="17"/>
      <c r="CR142" s="17"/>
      <c r="CS142" s="17"/>
      <c r="CT142" s="17"/>
      <c r="CU142" s="17"/>
      <c r="CV142" s="17"/>
      <c r="CW142" s="17"/>
      <c r="CX142" s="17"/>
      <c r="CY142" s="17"/>
      <c r="CZ142" s="17"/>
      <c r="DA142" s="17"/>
      <c r="DB142" s="17"/>
      <c r="DC142" s="17"/>
      <c r="DD142" s="17"/>
      <c r="DE142" s="17"/>
      <c r="DF142" s="17"/>
      <c r="DG142" s="17"/>
      <c r="DH142" s="17"/>
      <c r="DI142" s="17"/>
      <c r="DJ142" s="17"/>
      <c r="DK142" s="17"/>
      <c r="DL142" s="17"/>
      <c r="DM142" s="17"/>
      <c r="DN142" s="17"/>
      <c r="DO142" s="17"/>
      <c r="DP142" s="17"/>
      <c r="DQ142" s="17"/>
      <c r="DR142" s="17"/>
      <c r="DS142" s="17"/>
      <c r="DT142" s="17"/>
      <c r="DU142" s="17"/>
      <c r="DV142" s="17"/>
      <c r="DW142" s="17"/>
      <c r="DX142" s="17"/>
      <c r="DY142" s="17"/>
      <c r="DZ142" s="17"/>
      <c r="EA142" s="17"/>
      <c r="EB142" s="17"/>
      <c r="EC142" s="17"/>
    </row>
    <row r="143" spans="1:133" x14ac:dyDescent="0.25">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c r="CL143" s="17"/>
      <c r="CM143" s="17"/>
      <c r="CN143" s="17"/>
      <c r="CO143" s="17"/>
      <c r="CP143" s="17"/>
      <c r="CQ143" s="17"/>
      <c r="CR143" s="17"/>
      <c r="CS143" s="17"/>
      <c r="CT143" s="17"/>
      <c r="CU143" s="17"/>
      <c r="CV143" s="17"/>
      <c r="CW143" s="17"/>
      <c r="CX143" s="17"/>
      <c r="CY143" s="17"/>
      <c r="CZ143" s="17"/>
      <c r="DA143" s="17"/>
      <c r="DB143" s="17"/>
      <c r="DC143" s="17"/>
      <c r="DD143" s="17"/>
      <c r="DE143" s="17"/>
      <c r="DF143" s="17"/>
      <c r="DG143" s="17"/>
      <c r="DH143" s="17"/>
      <c r="DI143" s="17"/>
      <c r="DJ143" s="17"/>
      <c r="DK143" s="17"/>
      <c r="DL143" s="17"/>
      <c r="DM143" s="17"/>
      <c r="DN143" s="17"/>
      <c r="DO143" s="17"/>
      <c r="DP143" s="17"/>
      <c r="DQ143" s="17"/>
      <c r="DR143" s="17"/>
      <c r="DS143" s="17"/>
      <c r="DT143" s="17"/>
      <c r="DU143" s="17"/>
      <c r="DV143" s="17"/>
      <c r="DW143" s="17"/>
      <c r="DX143" s="17"/>
      <c r="DY143" s="17"/>
      <c r="DZ143" s="17"/>
      <c r="EA143" s="17"/>
      <c r="EB143" s="17"/>
      <c r="EC143" s="17"/>
    </row>
    <row r="144" spans="1:133" x14ac:dyDescent="0.25">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c r="CL144" s="17"/>
      <c r="CM144" s="17"/>
      <c r="CN144" s="17"/>
      <c r="CO144" s="17"/>
      <c r="CP144" s="17"/>
      <c r="CQ144" s="17"/>
      <c r="CR144" s="17"/>
      <c r="CS144" s="17"/>
      <c r="CT144" s="17"/>
      <c r="CU144" s="17"/>
      <c r="CV144" s="17"/>
      <c r="CW144" s="17"/>
      <c r="CX144" s="17"/>
      <c r="CY144" s="17"/>
      <c r="CZ144" s="17"/>
      <c r="DA144" s="17"/>
      <c r="DB144" s="17"/>
      <c r="DC144" s="17"/>
      <c r="DD144" s="17"/>
      <c r="DE144" s="17"/>
      <c r="DF144" s="17"/>
      <c r="DG144" s="17"/>
      <c r="DH144" s="17"/>
      <c r="DI144" s="17"/>
      <c r="DJ144" s="17"/>
      <c r="DK144" s="17"/>
      <c r="DL144" s="17"/>
      <c r="DM144" s="17"/>
      <c r="DN144" s="17"/>
      <c r="DO144" s="17"/>
      <c r="DP144" s="17"/>
      <c r="DQ144" s="17"/>
      <c r="DR144" s="17"/>
      <c r="DS144" s="17"/>
      <c r="DT144" s="17"/>
      <c r="DU144" s="17"/>
      <c r="DV144" s="17"/>
      <c r="DW144" s="17"/>
      <c r="DX144" s="17"/>
      <c r="DY144" s="17"/>
      <c r="DZ144" s="17"/>
      <c r="EA144" s="17"/>
      <c r="EB144" s="17"/>
      <c r="EC144" s="17"/>
    </row>
    <row r="145" spans="1:133" x14ac:dyDescent="0.2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c r="CF145" s="17"/>
      <c r="CG145" s="17"/>
      <c r="CH145" s="17"/>
      <c r="CI145" s="17"/>
      <c r="CJ145" s="17"/>
      <c r="CK145" s="17"/>
      <c r="CL145" s="17"/>
      <c r="CM145" s="17"/>
      <c r="CN145" s="17"/>
      <c r="CO145" s="17"/>
      <c r="CP145" s="17"/>
      <c r="CQ145" s="17"/>
      <c r="CR145" s="17"/>
      <c r="CS145" s="17"/>
      <c r="CT145" s="17"/>
      <c r="CU145" s="17"/>
      <c r="CV145" s="17"/>
      <c r="CW145" s="17"/>
      <c r="CX145" s="17"/>
      <c r="CY145" s="17"/>
      <c r="CZ145" s="17"/>
      <c r="DA145" s="17"/>
      <c r="DB145" s="17"/>
      <c r="DC145" s="17"/>
      <c r="DD145" s="17"/>
      <c r="DE145" s="17"/>
      <c r="DF145" s="17"/>
      <c r="DG145" s="17"/>
      <c r="DH145" s="17"/>
      <c r="DI145" s="17"/>
      <c r="DJ145" s="17"/>
      <c r="DK145" s="17"/>
      <c r="DL145" s="17"/>
      <c r="DM145" s="17"/>
      <c r="DN145" s="17"/>
      <c r="DO145" s="17"/>
      <c r="DP145" s="17"/>
      <c r="DQ145" s="17"/>
      <c r="DR145" s="17"/>
      <c r="DS145" s="17"/>
      <c r="DT145" s="17"/>
      <c r="DU145" s="17"/>
      <c r="DV145" s="17"/>
      <c r="DW145" s="17"/>
      <c r="DX145" s="17"/>
      <c r="DY145" s="17"/>
      <c r="DZ145" s="17"/>
      <c r="EA145" s="17"/>
      <c r="EB145" s="17"/>
      <c r="EC145" s="17"/>
    </row>
    <row r="146" spans="1:133" x14ac:dyDescent="0.25">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c r="CL146" s="17"/>
      <c r="CM146" s="17"/>
      <c r="CN146" s="17"/>
      <c r="CO146" s="17"/>
      <c r="CP146" s="17"/>
      <c r="CQ146" s="17"/>
      <c r="CR146" s="17"/>
      <c r="CS146" s="17"/>
      <c r="CT146" s="17"/>
      <c r="CU146" s="17"/>
      <c r="CV146" s="17"/>
      <c r="CW146" s="17"/>
      <c r="CX146" s="17"/>
      <c r="CY146" s="17"/>
      <c r="CZ146" s="17"/>
      <c r="DA146" s="17"/>
      <c r="DB146" s="17"/>
      <c r="DC146" s="17"/>
      <c r="DD146" s="17"/>
      <c r="DE146" s="17"/>
      <c r="DF146" s="17"/>
      <c r="DG146" s="17"/>
      <c r="DH146" s="17"/>
      <c r="DI146" s="17"/>
      <c r="DJ146" s="17"/>
      <c r="DK146" s="17"/>
      <c r="DL146" s="17"/>
      <c r="DM146" s="17"/>
      <c r="DN146" s="17"/>
      <c r="DO146" s="17"/>
      <c r="DP146" s="17"/>
      <c r="DQ146" s="17"/>
      <c r="DR146" s="17"/>
      <c r="DS146" s="17"/>
      <c r="DT146" s="17"/>
      <c r="DU146" s="17"/>
      <c r="DV146" s="17"/>
      <c r="DW146" s="17"/>
      <c r="DX146" s="17"/>
      <c r="DY146" s="17"/>
      <c r="DZ146" s="17"/>
      <c r="EA146" s="17"/>
      <c r="EB146" s="17"/>
      <c r="EC146" s="17"/>
    </row>
    <row r="147" spans="1:133" x14ac:dyDescent="0.25">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c r="CF147" s="17"/>
      <c r="CG147" s="17"/>
      <c r="CH147" s="17"/>
      <c r="CI147" s="17"/>
      <c r="CJ147" s="17"/>
      <c r="CK147" s="17"/>
      <c r="CL147" s="17"/>
      <c r="CM147" s="17"/>
      <c r="CN147" s="17"/>
      <c r="CO147" s="17"/>
      <c r="CP147" s="17"/>
      <c r="CQ147" s="17"/>
      <c r="CR147" s="17"/>
      <c r="CS147" s="17"/>
      <c r="CT147" s="17"/>
      <c r="CU147" s="17"/>
      <c r="CV147" s="17"/>
      <c r="CW147" s="17"/>
      <c r="CX147" s="17"/>
      <c r="CY147" s="17"/>
      <c r="CZ147" s="17"/>
      <c r="DA147" s="17"/>
      <c r="DB147" s="17"/>
      <c r="DC147" s="17"/>
      <c r="DD147" s="17"/>
      <c r="DE147" s="17"/>
      <c r="DF147" s="17"/>
      <c r="DG147" s="17"/>
      <c r="DH147" s="17"/>
      <c r="DI147" s="17"/>
      <c r="DJ147" s="17"/>
      <c r="DK147" s="17"/>
      <c r="DL147" s="17"/>
      <c r="DM147" s="17"/>
      <c r="DN147" s="17"/>
      <c r="DO147" s="17"/>
      <c r="DP147" s="17"/>
      <c r="DQ147" s="17"/>
      <c r="DR147" s="17"/>
      <c r="DS147" s="17"/>
      <c r="DT147" s="17"/>
      <c r="DU147" s="17"/>
      <c r="DV147" s="17"/>
      <c r="DW147" s="17"/>
      <c r="DX147" s="17"/>
      <c r="DY147" s="17"/>
      <c r="DZ147" s="17"/>
      <c r="EA147" s="17"/>
      <c r="EB147" s="17"/>
      <c r="EC147" s="17"/>
    </row>
    <row r="148" spans="1:133" x14ac:dyDescent="0.25">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c r="CL148" s="17"/>
      <c r="CM148" s="17"/>
      <c r="CN148" s="17"/>
      <c r="CO148" s="17"/>
      <c r="CP148" s="17"/>
      <c r="CQ148" s="17"/>
      <c r="CR148" s="17"/>
      <c r="CS148" s="17"/>
      <c r="CT148" s="17"/>
      <c r="CU148" s="17"/>
      <c r="CV148" s="17"/>
      <c r="CW148" s="17"/>
      <c r="CX148" s="17"/>
      <c r="CY148" s="17"/>
      <c r="CZ148" s="17"/>
      <c r="DA148" s="17"/>
      <c r="DB148" s="17"/>
      <c r="DC148" s="17"/>
      <c r="DD148" s="17"/>
      <c r="DE148" s="17"/>
      <c r="DF148" s="17"/>
      <c r="DG148" s="17"/>
      <c r="DH148" s="17"/>
      <c r="DI148" s="17"/>
      <c r="DJ148" s="17"/>
      <c r="DK148" s="17"/>
      <c r="DL148" s="17"/>
      <c r="DM148" s="17"/>
      <c r="DN148" s="17"/>
      <c r="DO148" s="17"/>
      <c r="DP148" s="17"/>
      <c r="DQ148" s="17"/>
      <c r="DR148" s="17"/>
      <c r="DS148" s="17"/>
      <c r="DT148" s="17"/>
      <c r="DU148" s="17"/>
      <c r="DV148" s="17"/>
      <c r="DW148" s="17"/>
      <c r="DX148" s="17"/>
      <c r="DY148" s="17"/>
      <c r="DZ148" s="17"/>
      <c r="EA148" s="17"/>
      <c r="EB148" s="17"/>
      <c r="EC148" s="17"/>
    </row>
    <row r="149" spans="1:133" x14ac:dyDescent="0.25">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17"/>
      <c r="CH149" s="17"/>
      <c r="CI149" s="17"/>
      <c r="CJ149" s="17"/>
      <c r="CK149" s="17"/>
      <c r="CL149" s="17"/>
      <c r="CM149" s="17"/>
      <c r="CN149" s="17"/>
      <c r="CO149" s="17"/>
      <c r="CP149" s="17"/>
      <c r="CQ149" s="17"/>
      <c r="CR149" s="17"/>
      <c r="CS149" s="17"/>
      <c r="CT149" s="17"/>
      <c r="CU149" s="17"/>
      <c r="CV149" s="17"/>
      <c r="CW149" s="17"/>
      <c r="CX149" s="17"/>
      <c r="CY149" s="17"/>
      <c r="CZ149" s="17"/>
      <c r="DA149" s="17"/>
      <c r="DB149" s="17"/>
      <c r="DC149" s="17"/>
      <c r="DD149" s="17"/>
      <c r="DE149" s="17"/>
      <c r="DF149" s="17"/>
      <c r="DG149" s="17"/>
      <c r="DH149" s="17"/>
      <c r="DI149" s="17"/>
      <c r="DJ149" s="17"/>
      <c r="DK149" s="17"/>
      <c r="DL149" s="17"/>
      <c r="DM149" s="17"/>
      <c r="DN149" s="17"/>
      <c r="DO149" s="17"/>
      <c r="DP149" s="17"/>
      <c r="DQ149" s="17"/>
      <c r="DR149" s="17"/>
      <c r="DS149" s="17"/>
      <c r="DT149" s="17"/>
      <c r="DU149" s="17"/>
      <c r="DV149" s="17"/>
      <c r="DW149" s="17"/>
      <c r="DX149" s="17"/>
      <c r="DY149" s="17"/>
      <c r="DZ149" s="17"/>
      <c r="EA149" s="17"/>
      <c r="EB149" s="17"/>
      <c r="EC149" s="17"/>
    </row>
    <row r="150" spans="1:133" x14ac:dyDescent="0.25">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c r="CF150" s="17"/>
      <c r="CG150" s="17"/>
      <c r="CH150" s="17"/>
      <c r="CI150" s="17"/>
      <c r="CJ150" s="17"/>
      <c r="CK150" s="17"/>
      <c r="CL150" s="17"/>
      <c r="CM150" s="17"/>
      <c r="CN150" s="17"/>
      <c r="CO150" s="17"/>
      <c r="CP150" s="17"/>
      <c r="CQ150" s="17"/>
      <c r="CR150" s="17"/>
      <c r="CS150" s="17"/>
      <c r="CT150" s="17"/>
      <c r="CU150" s="17"/>
      <c r="CV150" s="17"/>
      <c r="CW150" s="17"/>
      <c r="CX150" s="17"/>
      <c r="CY150" s="17"/>
      <c r="CZ150" s="17"/>
      <c r="DA150" s="17"/>
      <c r="DB150" s="17"/>
      <c r="DC150" s="17"/>
      <c r="DD150" s="17"/>
      <c r="DE150" s="17"/>
      <c r="DF150" s="17"/>
      <c r="DG150" s="17"/>
      <c r="DH150" s="17"/>
      <c r="DI150" s="17"/>
      <c r="DJ150" s="17"/>
      <c r="DK150" s="17"/>
      <c r="DL150" s="17"/>
      <c r="DM150" s="17"/>
      <c r="DN150" s="17"/>
      <c r="DO150" s="17"/>
      <c r="DP150" s="17"/>
      <c r="DQ150" s="17"/>
      <c r="DR150" s="17"/>
      <c r="DS150" s="17"/>
      <c r="DT150" s="17"/>
      <c r="DU150" s="17"/>
      <c r="DV150" s="17"/>
      <c r="DW150" s="17"/>
      <c r="DX150" s="17"/>
      <c r="DY150" s="17"/>
      <c r="DZ150" s="17"/>
      <c r="EA150" s="17"/>
      <c r="EB150" s="17"/>
      <c r="EC150" s="17"/>
    </row>
    <row r="151" spans="1:133" x14ac:dyDescent="0.25">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c r="CF151" s="17"/>
      <c r="CG151" s="17"/>
      <c r="CH151" s="17"/>
      <c r="CI151" s="17"/>
      <c r="CJ151" s="17"/>
      <c r="CK151" s="17"/>
      <c r="CL151" s="17"/>
      <c r="CM151" s="17"/>
      <c r="CN151" s="17"/>
      <c r="CO151" s="17"/>
      <c r="CP151" s="17"/>
      <c r="CQ151" s="17"/>
      <c r="CR151" s="17"/>
      <c r="CS151" s="17"/>
      <c r="CT151" s="17"/>
      <c r="CU151" s="17"/>
      <c r="CV151" s="17"/>
      <c r="CW151" s="17"/>
      <c r="CX151" s="17"/>
      <c r="CY151" s="17"/>
      <c r="CZ151" s="17"/>
      <c r="DA151" s="17"/>
      <c r="DB151" s="17"/>
      <c r="DC151" s="17"/>
      <c r="DD151" s="17"/>
      <c r="DE151" s="17"/>
      <c r="DF151" s="17"/>
      <c r="DG151" s="17"/>
      <c r="DH151" s="17"/>
      <c r="DI151" s="17"/>
      <c r="DJ151" s="17"/>
      <c r="DK151" s="17"/>
      <c r="DL151" s="17"/>
      <c r="DM151" s="17"/>
      <c r="DN151" s="17"/>
      <c r="DO151" s="17"/>
      <c r="DP151" s="17"/>
      <c r="DQ151" s="17"/>
      <c r="DR151" s="17"/>
      <c r="DS151" s="17"/>
      <c r="DT151" s="17"/>
      <c r="DU151" s="17"/>
      <c r="DV151" s="17"/>
      <c r="DW151" s="17"/>
      <c r="DX151" s="17"/>
      <c r="DY151" s="17"/>
      <c r="DZ151" s="17"/>
      <c r="EA151" s="17"/>
      <c r="EB151" s="17"/>
      <c r="EC151" s="17"/>
    </row>
    <row r="152" spans="1:133" x14ac:dyDescent="0.25">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c r="CL152" s="17"/>
      <c r="CM152" s="17"/>
      <c r="CN152" s="17"/>
      <c r="CO152" s="17"/>
      <c r="CP152" s="17"/>
      <c r="CQ152" s="17"/>
      <c r="CR152" s="17"/>
      <c r="CS152" s="17"/>
      <c r="CT152" s="17"/>
      <c r="CU152" s="17"/>
      <c r="CV152" s="17"/>
      <c r="CW152" s="17"/>
      <c r="CX152" s="17"/>
      <c r="CY152" s="17"/>
      <c r="CZ152" s="17"/>
      <c r="DA152" s="17"/>
      <c r="DB152" s="17"/>
      <c r="DC152" s="17"/>
      <c r="DD152" s="17"/>
      <c r="DE152" s="17"/>
      <c r="DF152" s="17"/>
      <c r="DG152" s="17"/>
      <c r="DH152" s="17"/>
      <c r="DI152" s="17"/>
      <c r="DJ152" s="17"/>
      <c r="DK152" s="17"/>
      <c r="DL152" s="17"/>
      <c r="DM152" s="17"/>
      <c r="DN152" s="17"/>
      <c r="DO152" s="17"/>
      <c r="DP152" s="17"/>
      <c r="DQ152" s="17"/>
      <c r="DR152" s="17"/>
      <c r="DS152" s="17"/>
      <c r="DT152" s="17"/>
      <c r="DU152" s="17"/>
      <c r="DV152" s="17"/>
      <c r="DW152" s="17"/>
      <c r="DX152" s="17"/>
      <c r="DY152" s="17"/>
      <c r="DZ152" s="17"/>
      <c r="EA152" s="17"/>
      <c r="EB152" s="17"/>
      <c r="EC152" s="17"/>
    </row>
    <row r="153" spans="1:133" x14ac:dyDescent="0.25">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c r="CF153" s="17"/>
      <c r="CG153" s="17"/>
      <c r="CH153" s="17"/>
      <c r="CI153" s="17"/>
      <c r="CJ153" s="17"/>
      <c r="CK153" s="17"/>
      <c r="CL153" s="17"/>
      <c r="CM153" s="17"/>
      <c r="CN153" s="17"/>
      <c r="CO153" s="17"/>
      <c r="CP153" s="17"/>
      <c r="CQ153" s="17"/>
      <c r="CR153" s="17"/>
      <c r="CS153" s="17"/>
      <c r="CT153" s="17"/>
      <c r="CU153" s="17"/>
      <c r="CV153" s="17"/>
      <c r="CW153" s="17"/>
      <c r="CX153" s="17"/>
      <c r="CY153" s="17"/>
      <c r="CZ153" s="17"/>
      <c r="DA153" s="17"/>
      <c r="DB153" s="17"/>
      <c r="DC153" s="17"/>
      <c r="DD153" s="17"/>
      <c r="DE153" s="17"/>
      <c r="DF153" s="17"/>
      <c r="DG153" s="17"/>
      <c r="DH153" s="17"/>
      <c r="DI153" s="17"/>
      <c r="DJ153" s="17"/>
      <c r="DK153" s="17"/>
      <c r="DL153" s="17"/>
      <c r="DM153" s="17"/>
      <c r="DN153" s="17"/>
      <c r="DO153" s="17"/>
      <c r="DP153" s="17"/>
      <c r="DQ153" s="17"/>
      <c r="DR153" s="17"/>
      <c r="DS153" s="17"/>
      <c r="DT153" s="17"/>
      <c r="DU153" s="17"/>
      <c r="DV153" s="17"/>
      <c r="DW153" s="17"/>
      <c r="DX153" s="17"/>
      <c r="DY153" s="17"/>
      <c r="DZ153" s="17"/>
      <c r="EA153" s="17"/>
      <c r="EB153" s="17"/>
      <c r="EC153" s="17"/>
    </row>
    <row r="154" spans="1:133" x14ac:dyDescent="0.25">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c r="BU154" s="17"/>
      <c r="BV154" s="17"/>
      <c r="BW154" s="17"/>
      <c r="BX154" s="17"/>
      <c r="BY154" s="17"/>
      <c r="BZ154" s="17"/>
      <c r="CA154" s="17"/>
      <c r="CB154" s="17"/>
      <c r="CC154" s="17"/>
      <c r="CD154" s="17"/>
      <c r="CE154" s="17"/>
      <c r="CF154" s="17"/>
      <c r="CG154" s="17"/>
      <c r="CH154" s="17"/>
      <c r="CI154" s="17"/>
      <c r="CJ154" s="17"/>
      <c r="CK154" s="17"/>
      <c r="CL154" s="17"/>
      <c r="CM154" s="17"/>
      <c r="CN154" s="17"/>
      <c r="CO154" s="17"/>
      <c r="CP154" s="17"/>
      <c r="CQ154" s="17"/>
      <c r="CR154" s="17"/>
      <c r="CS154" s="17"/>
      <c r="CT154" s="17"/>
      <c r="CU154" s="17"/>
      <c r="CV154" s="17"/>
      <c r="CW154" s="17"/>
      <c r="CX154" s="17"/>
      <c r="CY154" s="17"/>
      <c r="CZ154" s="17"/>
      <c r="DA154" s="17"/>
      <c r="DB154" s="17"/>
      <c r="DC154" s="17"/>
      <c r="DD154" s="17"/>
      <c r="DE154" s="17"/>
      <c r="DF154" s="17"/>
      <c r="DG154" s="17"/>
      <c r="DH154" s="17"/>
      <c r="DI154" s="17"/>
      <c r="DJ154" s="17"/>
      <c r="DK154" s="17"/>
      <c r="DL154" s="17"/>
      <c r="DM154" s="17"/>
      <c r="DN154" s="17"/>
      <c r="DO154" s="17"/>
      <c r="DP154" s="17"/>
      <c r="DQ154" s="17"/>
      <c r="DR154" s="17"/>
      <c r="DS154" s="17"/>
      <c r="DT154" s="17"/>
      <c r="DU154" s="17"/>
      <c r="DV154" s="17"/>
      <c r="DW154" s="17"/>
      <c r="DX154" s="17"/>
      <c r="DY154" s="17"/>
      <c r="DZ154" s="17"/>
      <c r="EA154" s="17"/>
      <c r="EB154" s="17"/>
      <c r="EC154" s="17"/>
    </row>
    <row r="155" spans="1:133" x14ac:dyDescent="0.2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c r="CE155" s="17"/>
      <c r="CF155" s="17"/>
      <c r="CG155" s="17"/>
      <c r="CH155" s="17"/>
      <c r="CI155" s="17"/>
      <c r="CJ155" s="17"/>
      <c r="CK155" s="17"/>
      <c r="CL155" s="17"/>
      <c r="CM155" s="17"/>
      <c r="CN155" s="17"/>
      <c r="CO155" s="17"/>
      <c r="CP155" s="17"/>
      <c r="CQ155" s="17"/>
      <c r="CR155" s="17"/>
      <c r="CS155" s="17"/>
      <c r="CT155" s="17"/>
      <c r="CU155" s="17"/>
      <c r="CV155" s="17"/>
      <c r="CW155" s="17"/>
      <c r="CX155" s="17"/>
      <c r="CY155" s="17"/>
      <c r="CZ155" s="17"/>
      <c r="DA155" s="17"/>
      <c r="DB155" s="17"/>
      <c r="DC155" s="17"/>
      <c r="DD155" s="17"/>
      <c r="DE155" s="17"/>
      <c r="DF155" s="17"/>
      <c r="DG155" s="17"/>
      <c r="DH155" s="17"/>
      <c r="DI155" s="17"/>
      <c r="DJ155" s="17"/>
      <c r="DK155" s="17"/>
      <c r="DL155" s="17"/>
      <c r="DM155" s="17"/>
      <c r="DN155" s="17"/>
      <c r="DO155" s="17"/>
      <c r="DP155" s="17"/>
      <c r="DQ155" s="17"/>
      <c r="DR155" s="17"/>
      <c r="DS155" s="17"/>
      <c r="DT155" s="17"/>
      <c r="DU155" s="17"/>
      <c r="DV155" s="17"/>
      <c r="DW155" s="17"/>
      <c r="DX155" s="17"/>
      <c r="DY155" s="17"/>
      <c r="DZ155" s="17"/>
      <c r="EA155" s="17"/>
      <c r="EB155" s="17"/>
      <c r="EC155" s="17"/>
    </row>
    <row r="156" spans="1:133" x14ac:dyDescent="0.25">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c r="CE156" s="17"/>
      <c r="CF156" s="17"/>
      <c r="CG156" s="17"/>
      <c r="CH156" s="17"/>
      <c r="CI156" s="17"/>
      <c r="CJ156" s="17"/>
      <c r="CK156" s="17"/>
      <c r="CL156" s="17"/>
      <c r="CM156" s="17"/>
      <c r="CN156" s="17"/>
      <c r="CO156" s="17"/>
      <c r="CP156" s="17"/>
      <c r="CQ156" s="17"/>
      <c r="CR156" s="17"/>
      <c r="CS156" s="17"/>
      <c r="CT156" s="17"/>
      <c r="CU156" s="17"/>
      <c r="CV156" s="17"/>
      <c r="CW156" s="17"/>
      <c r="CX156" s="17"/>
      <c r="CY156" s="17"/>
      <c r="CZ156" s="17"/>
      <c r="DA156" s="17"/>
      <c r="DB156" s="17"/>
      <c r="DC156" s="17"/>
      <c r="DD156" s="17"/>
      <c r="DE156" s="17"/>
      <c r="DF156" s="17"/>
      <c r="DG156" s="17"/>
      <c r="DH156" s="17"/>
      <c r="DI156" s="17"/>
      <c r="DJ156" s="17"/>
      <c r="DK156" s="17"/>
      <c r="DL156" s="17"/>
      <c r="DM156" s="17"/>
      <c r="DN156" s="17"/>
      <c r="DO156" s="17"/>
      <c r="DP156" s="17"/>
      <c r="DQ156" s="17"/>
      <c r="DR156" s="17"/>
      <c r="DS156" s="17"/>
      <c r="DT156" s="17"/>
      <c r="DU156" s="17"/>
      <c r="DV156" s="17"/>
      <c r="DW156" s="17"/>
      <c r="DX156" s="17"/>
      <c r="DY156" s="17"/>
      <c r="DZ156" s="17"/>
      <c r="EA156" s="17"/>
      <c r="EB156" s="17"/>
      <c r="EC156" s="17"/>
    </row>
    <row r="157" spans="1:133" x14ac:dyDescent="0.25">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c r="CC157" s="17"/>
      <c r="CD157" s="17"/>
      <c r="CE157" s="17"/>
      <c r="CF157" s="17"/>
      <c r="CG157" s="17"/>
      <c r="CH157" s="17"/>
      <c r="CI157" s="17"/>
      <c r="CJ157" s="17"/>
      <c r="CK157" s="17"/>
      <c r="CL157" s="17"/>
      <c r="CM157" s="17"/>
      <c r="CN157" s="17"/>
      <c r="CO157" s="17"/>
      <c r="CP157" s="17"/>
      <c r="CQ157" s="17"/>
      <c r="CR157" s="17"/>
      <c r="CS157" s="17"/>
      <c r="CT157" s="17"/>
      <c r="CU157" s="17"/>
      <c r="CV157" s="17"/>
      <c r="CW157" s="17"/>
      <c r="CX157" s="17"/>
      <c r="CY157" s="17"/>
      <c r="CZ157" s="17"/>
      <c r="DA157" s="17"/>
      <c r="DB157" s="17"/>
      <c r="DC157" s="17"/>
      <c r="DD157" s="17"/>
      <c r="DE157" s="17"/>
      <c r="DF157" s="17"/>
      <c r="DG157" s="17"/>
      <c r="DH157" s="17"/>
      <c r="DI157" s="17"/>
      <c r="DJ157" s="17"/>
      <c r="DK157" s="17"/>
      <c r="DL157" s="17"/>
      <c r="DM157" s="17"/>
      <c r="DN157" s="17"/>
      <c r="DO157" s="17"/>
      <c r="DP157" s="17"/>
      <c r="DQ157" s="17"/>
      <c r="DR157" s="17"/>
      <c r="DS157" s="17"/>
      <c r="DT157" s="17"/>
      <c r="DU157" s="17"/>
      <c r="DV157" s="17"/>
      <c r="DW157" s="17"/>
      <c r="DX157" s="17"/>
      <c r="DY157" s="17"/>
      <c r="DZ157" s="17"/>
      <c r="EA157" s="17"/>
      <c r="EB157" s="17"/>
      <c r="EC157" s="17"/>
    </row>
    <row r="158" spans="1:133" x14ac:dyDescent="0.25">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c r="BU158" s="17"/>
      <c r="BV158" s="17"/>
      <c r="BW158" s="17"/>
      <c r="BX158" s="17"/>
      <c r="BY158" s="17"/>
      <c r="BZ158" s="17"/>
      <c r="CA158" s="17"/>
      <c r="CB158" s="17"/>
      <c r="CC158" s="17"/>
      <c r="CD158" s="17"/>
      <c r="CE158" s="17"/>
      <c r="CF158" s="17"/>
      <c r="CG158" s="17"/>
      <c r="CH158" s="17"/>
      <c r="CI158" s="17"/>
      <c r="CJ158" s="17"/>
      <c r="CK158" s="17"/>
      <c r="CL158" s="17"/>
      <c r="CM158" s="17"/>
      <c r="CN158" s="17"/>
      <c r="CO158" s="17"/>
      <c r="CP158" s="17"/>
      <c r="CQ158" s="17"/>
      <c r="CR158" s="17"/>
      <c r="CS158" s="17"/>
      <c r="CT158" s="17"/>
      <c r="CU158" s="17"/>
      <c r="CV158" s="17"/>
      <c r="CW158" s="17"/>
      <c r="CX158" s="17"/>
      <c r="CY158" s="17"/>
      <c r="CZ158" s="17"/>
      <c r="DA158" s="17"/>
      <c r="DB158" s="17"/>
      <c r="DC158" s="17"/>
      <c r="DD158" s="17"/>
      <c r="DE158" s="17"/>
      <c r="DF158" s="17"/>
      <c r="DG158" s="17"/>
      <c r="DH158" s="17"/>
      <c r="DI158" s="17"/>
      <c r="DJ158" s="17"/>
      <c r="DK158" s="17"/>
      <c r="DL158" s="17"/>
      <c r="DM158" s="17"/>
      <c r="DN158" s="17"/>
      <c r="DO158" s="17"/>
      <c r="DP158" s="17"/>
      <c r="DQ158" s="17"/>
      <c r="DR158" s="17"/>
      <c r="DS158" s="17"/>
      <c r="DT158" s="17"/>
      <c r="DU158" s="17"/>
      <c r="DV158" s="17"/>
      <c r="DW158" s="17"/>
      <c r="DX158" s="17"/>
      <c r="DY158" s="17"/>
      <c r="DZ158" s="17"/>
      <c r="EA158" s="17"/>
      <c r="EB158" s="17"/>
      <c r="EC158" s="17"/>
    </row>
    <row r="159" spans="1:133" x14ac:dyDescent="0.25">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c r="CE159" s="17"/>
      <c r="CF159" s="17"/>
      <c r="CG159" s="17"/>
      <c r="CH159" s="17"/>
      <c r="CI159" s="17"/>
      <c r="CJ159" s="17"/>
      <c r="CK159" s="17"/>
      <c r="CL159" s="17"/>
      <c r="CM159" s="17"/>
      <c r="CN159" s="17"/>
      <c r="CO159" s="17"/>
      <c r="CP159" s="17"/>
      <c r="CQ159" s="17"/>
      <c r="CR159" s="17"/>
      <c r="CS159" s="17"/>
      <c r="CT159" s="17"/>
      <c r="CU159" s="17"/>
      <c r="CV159" s="17"/>
      <c r="CW159" s="17"/>
      <c r="CX159" s="17"/>
      <c r="CY159" s="17"/>
      <c r="CZ159" s="17"/>
      <c r="DA159" s="17"/>
      <c r="DB159" s="17"/>
      <c r="DC159" s="17"/>
      <c r="DD159" s="17"/>
      <c r="DE159" s="17"/>
      <c r="DF159" s="17"/>
      <c r="DG159" s="17"/>
      <c r="DH159" s="17"/>
      <c r="DI159" s="17"/>
      <c r="DJ159" s="17"/>
      <c r="DK159" s="17"/>
      <c r="DL159" s="17"/>
      <c r="DM159" s="17"/>
      <c r="DN159" s="17"/>
      <c r="DO159" s="17"/>
      <c r="DP159" s="17"/>
      <c r="DQ159" s="17"/>
      <c r="DR159" s="17"/>
      <c r="DS159" s="17"/>
      <c r="DT159" s="17"/>
      <c r="DU159" s="17"/>
      <c r="DV159" s="17"/>
      <c r="DW159" s="17"/>
      <c r="DX159" s="17"/>
      <c r="DY159" s="17"/>
      <c r="DZ159" s="17"/>
      <c r="EA159" s="17"/>
      <c r="EB159" s="17"/>
      <c r="EC159" s="17"/>
    </row>
    <row r="160" spans="1:133" x14ac:dyDescent="0.25">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c r="CE160" s="17"/>
      <c r="CF160" s="17"/>
      <c r="CG160" s="17"/>
      <c r="CH160" s="17"/>
      <c r="CI160" s="17"/>
      <c r="CJ160" s="17"/>
      <c r="CK160" s="17"/>
      <c r="CL160" s="17"/>
      <c r="CM160" s="17"/>
      <c r="CN160" s="17"/>
      <c r="CO160" s="17"/>
      <c r="CP160" s="17"/>
      <c r="CQ160" s="17"/>
      <c r="CR160" s="17"/>
      <c r="CS160" s="17"/>
      <c r="CT160" s="17"/>
      <c r="CU160" s="17"/>
      <c r="CV160" s="17"/>
      <c r="CW160" s="17"/>
      <c r="CX160" s="17"/>
      <c r="CY160" s="17"/>
      <c r="CZ160" s="17"/>
      <c r="DA160" s="17"/>
      <c r="DB160" s="17"/>
      <c r="DC160" s="17"/>
      <c r="DD160" s="17"/>
      <c r="DE160" s="17"/>
      <c r="DF160" s="17"/>
      <c r="DG160" s="17"/>
      <c r="DH160" s="17"/>
      <c r="DI160" s="17"/>
      <c r="DJ160" s="17"/>
      <c r="DK160" s="17"/>
      <c r="DL160" s="17"/>
      <c r="DM160" s="17"/>
      <c r="DN160" s="17"/>
      <c r="DO160" s="17"/>
      <c r="DP160" s="17"/>
      <c r="DQ160" s="17"/>
      <c r="DR160" s="17"/>
      <c r="DS160" s="17"/>
      <c r="DT160" s="17"/>
      <c r="DU160" s="17"/>
      <c r="DV160" s="17"/>
      <c r="DW160" s="17"/>
      <c r="DX160" s="17"/>
      <c r="DY160" s="17"/>
      <c r="DZ160" s="17"/>
      <c r="EA160" s="17"/>
      <c r="EB160" s="17"/>
      <c r="EC160" s="17"/>
    </row>
    <row r="161" spans="1:133" x14ac:dyDescent="0.25">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c r="CF161" s="17"/>
      <c r="CG161" s="17"/>
      <c r="CH161" s="17"/>
      <c r="CI161" s="17"/>
      <c r="CJ161" s="17"/>
      <c r="CK161" s="17"/>
      <c r="CL161" s="17"/>
      <c r="CM161" s="17"/>
      <c r="CN161" s="17"/>
      <c r="CO161" s="17"/>
      <c r="CP161" s="17"/>
      <c r="CQ161" s="17"/>
      <c r="CR161" s="17"/>
      <c r="CS161" s="17"/>
      <c r="CT161" s="17"/>
      <c r="CU161" s="17"/>
      <c r="CV161" s="17"/>
      <c r="CW161" s="17"/>
      <c r="CX161" s="17"/>
      <c r="CY161" s="17"/>
      <c r="CZ161" s="17"/>
      <c r="DA161" s="17"/>
      <c r="DB161" s="17"/>
      <c r="DC161" s="17"/>
      <c r="DD161" s="17"/>
      <c r="DE161" s="17"/>
      <c r="DF161" s="17"/>
      <c r="DG161" s="17"/>
      <c r="DH161" s="17"/>
      <c r="DI161" s="17"/>
      <c r="DJ161" s="17"/>
      <c r="DK161" s="17"/>
      <c r="DL161" s="17"/>
      <c r="DM161" s="17"/>
      <c r="DN161" s="17"/>
      <c r="DO161" s="17"/>
      <c r="DP161" s="17"/>
      <c r="DQ161" s="17"/>
      <c r="DR161" s="17"/>
      <c r="DS161" s="17"/>
      <c r="DT161" s="17"/>
      <c r="DU161" s="17"/>
      <c r="DV161" s="17"/>
      <c r="DW161" s="17"/>
      <c r="DX161" s="17"/>
      <c r="DY161" s="17"/>
      <c r="DZ161" s="17"/>
      <c r="EA161" s="17"/>
      <c r="EB161" s="17"/>
      <c r="EC161" s="17"/>
    </row>
    <row r="162" spans="1:133" x14ac:dyDescent="0.25">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17"/>
      <c r="CH162" s="17"/>
      <c r="CI162" s="17"/>
      <c r="CJ162" s="17"/>
      <c r="CK162" s="17"/>
      <c r="CL162" s="17"/>
      <c r="CM162" s="17"/>
      <c r="CN162" s="17"/>
      <c r="CO162" s="17"/>
      <c r="CP162" s="17"/>
      <c r="CQ162" s="17"/>
      <c r="CR162" s="17"/>
      <c r="CS162" s="17"/>
      <c r="CT162" s="17"/>
      <c r="CU162" s="17"/>
      <c r="CV162" s="17"/>
      <c r="CW162" s="17"/>
      <c r="CX162" s="17"/>
      <c r="CY162" s="17"/>
      <c r="CZ162" s="17"/>
      <c r="DA162" s="17"/>
      <c r="DB162" s="17"/>
      <c r="DC162" s="17"/>
      <c r="DD162" s="17"/>
      <c r="DE162" s="17"/>
      <c r="DF162" s="17"/>
      <c r="DG162" s="17"/>
      <c r="DH162" s="17"/>
      <c r="DI162" s="17"/>
      <c r="DJ162" s="17"/>
      <c r="DK162" s="17"/>
      <c r="DL162" s="17"/>
      <c r="DM162" s="17"/>
      <c r="DN162" s="17"/>
      <c r="DO162" s="17"/>
      <c r="DP162" s="17"/>
      <c r="DQ162" s="17"/>
      <c r="DR162" s="17"/>
      <c r="DS162" s="17"/>
      <c r="DT162" s="17"/>
      <c r="DU162" s="17"/>
      <c r="DV162" s="17"/>
      <c r="DW162" s="17"/>
      <c r="DX162" s="17"/>
      <c r="DY162" s="17"/>
      <c r="DZ162" s="17"/>
      <c r="EA162" s="17"/>
      <c r="EB162" s="17"/>
      <c r="EC162" s="17"/>
    </row>
    <row r="163" spans="1:133" x14ac:dyDescent="0.25">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c r="CF163" s="17"/>
      <c r="CG163" s="17"/>
      <c r="CH163" s="17"/>
      <c r="CI163" s="17"/>
      <c r="CJ163" s="17"/>
      <c r="CK163" s="17"/>
      <c r="CL163" s="17"/>
      <c r="CM163" s="17"/>
      <c r="CN163" s="17"/>
      <c r="CO163" s="17"/>
      <c r="CP163" s="17"/>
      <c r="CQ163" s="17"/>
      <c r="CR163" s="17"/>
      <c r="CS163" s="17"/>
      <c r="CT163" s="17"/>
      <c r="CU163" s="17"/>
      <c r="CV163" s="17"/>
      <c r="CW163" s="17"/>
      <c r="CX163" s="17"/>
      <c r="CY163" s="17"/>
      <c r="CZ163" s="17"/>
      <c r="DA163" s="17"/>
      <c r="DB163" s="17"/>
      <c r="DC163" s="17"/>
      <c r="DD163" s="17"/>
      <c r="DE163" s="17"/>
      <c r="DF163" s="17"/>
      <c r="DG163" s="17"/>
      <c r="DH163" s="17"/>
      <c r="DI163" s="17"/>
      <c r="DJ163" s="17"/>
      <c r="DK163" s="17"/>
      <c r="DL163" s="17"/>
      <c r="DM163" s="17"/>
      <c r="DN163" s="17"/>
      <c r="DO163" s="17"/>
      <c r="DP163" s="17"/>
      <c r="DQ163" s="17"/>
      <c r="DR163" s="17"/>
      <c r="DS163" s="17"/>
      <c r="DT163" s="17"/>
      <c r="DU163" s="17"/>
      <c r="DV163" s="17"/>
      <c r="DW163" s="17"/>
      <c r="DX163" s="17"/>
      <c r="DY163" s="17"/>
      <c r="DZ163" s="17"/>
      <c r="EA163" s="17"/>
      <c r="EB163" s="17"/>
      <c r="EC163" s="17"/>
    </row>
    <row r="164" spans="1:133" x14ac:dyDescent="0.25">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c r="CE164" s="17"/>
      <c r="CF164" s="17"/>
      <c r="CG164" s="17"/>
      <c r="CH164" s="17"/>
      <c r="CI164" s="17"/>
      <c r="CJ164" s="17"/>
      <c r="CK164" s="17"/>
      <c r="CL164" s="17"/>
      <c r="CM164" s="17"/>
      <c r="CN164" s="17"/>
      <c r="CO164" s="17"/>
      <c r="CP164" s="17"/>
      <c r="CQ164" s="17"/>
      <c r="CR164" s="17"/>
      <c r="CS164" s="17"/>
      <c r="CT164" s="17"/>
      <c r="CU164" s="17"/>
      <c r="CV164" s="17"/>
      <c r="CW164" s="17"/>
      <c r="CX164" s="17"/>
      <c r="CY164" s="17"/>
      <c r="CZ164" s="17"/>
      <c r="DA164" s="17"/>
      <c r="DB164" s="17"/>
      <c r="DC164" s="17"/>
      <c r="DD164" s="17"/>
      <c r="DE164" s="17"/>
      <c r="DF164" s="17"/>
      <c r="DG164" s="17"/>
      <c r="DH164" s="17"/>
      <c r="DI164" s="17"/>
      <c r="DJ164" s="17"/>
      <c r="DK164" s="17"/>
      <c r="DL164" s="17"/>
      <c r="DM164" s="17"/>
      <c r="DN164" s="17"/>
      <c r="DO164" s="17"/>
      <c r="DP164" s="17"/>
      <c r="DQ164" s="17"/>
      <c r="DR164" s="17"/>
      <c r="DS164" s="17"/>
      <c r="DT164" s="17"/>
      <c r="DU164" s="17"/>
      <c r="DV164" s="17"/>
      <c r="DW164" s="17"/>
      <c r="DX164" s="17"/>
      <c r="DY164" s="17"/>
      <c r="DZ164" s="17"/>
      <c r="EA164" s="17"/>
      <c r="EB164" s="17"/>
      <c r="EC164" s="17"/>
    </row>
    <row r="165" spans="1:133" x14ac:dyDescent="0.2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c r="CF165" s="17"/>
      <c r="CG165" s="17"/>
      <c r="CH165" s="17"/>
      <c r="CI165" s="17"/>
      <c r="CJ165" s="17"/>
      <c r="CK165" s="17"/>
      <c r="CL165" s="17"/>
      <c r="CM165" s="17"/>
      <c r="CN165" s="17"/>
      <c r="CO165" s="17"/>
      <c r="CP165" s="17"/>
      <c r="CQ165" s="17"/>
      <c r="CR165" s="17"/>
      <c r="CS165" s="17"/>
      <c r="CT165" s="17"/>
      <c r="CU165" s="17"/>
      <c r="CV165" s="17"/>
      <c r="CW165" s="17"/>
      <c r="CX165" s="17"/>
      <c r="CY165" s="17"/>
      <c r="CZ165" s="17"/>
      <c r="DA165" s="17"/>
      <c r="DB165" s="17"/>
      <c r="DC165" s="17"/>
      <c r="DD165" s="17"/>
      <c r="DE165" s="17"/>
      <c r="DF165" s="17"/>
      <c r="DG165" s="17"/>
      <c r="DH165" s="17"/>
      <c r="DI165" s="17"/>
      <c r="DJ165" s="17"/>
      <c r="DK165" s="17"/>
      <c r="DL165" s="17"/>
      <c r="DM165" s="17"/>
      <c r="DN165" s="17"/>
      <c r="DO165" s="17"/>
      <c r="DP165" s="17"/>
      <c r="DQ165" s="17"/>
      <c r="DR165" s="17"/>
      <c r="DS165" s="17"/>
      <c r="DT165" s="17"/>
      <c r="DU165" s="17"/>
      <c r="DV165" s="17"/>
      <c r="DW165" s="17"/>
      <c r="DX165" s="17"/>
      <c r="DY165" s="17"/>
      <c r="DZ165" s="17"/>
      <c r="EA165" s="17"/>
      <c r="EB165" s="17"/>
      <c r="EC165" s="17"/>
    </row>
    <row r="166" spans="1:133" x14ac:dyDescent="0.25">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7"/>
      <c r="CJ166" s="17"/>
      <c r="CK166" s="17"/>
      <c r="CL166" s="17"/>
      <c r="CM166" s="17"/>
      <c r="CN166" s="17"/>
      <c r="CO166" s="17"/>
      <c r="CP166" s="17"/>
      <c r="CQ166" s="17"/>
      <c r="CR166" s="17"/>
      <c r="CS166" s="17"/>
      <c r="CT166" s="17"/>
      <c r="CU166" s="17"/>
      <c r="CV166" s="17"/>
      <c r="CW166" s="17"/>
      <c r="CX166" s="17"/>
      <c r="CY166" s="17"/>
      <c r="CZ166" s="17"/>
      <c r="DA166" s="17"/>
      <c r="DB166" s="17"/>
      <c r="DC166" s="17"/>
      <c r="DD166" s="17"/>
      <c r="DE166" s="17"/>
      <c r="DF166" s="17"/>
      <c r="DG166" s="17"/>
      <c r="DH166" s="17"/>
      <c r="DI166" s="17"/>
      <c r="DJ166" s="17"/>
      <c r="DK166" s="17"/>
      <c r="DL166" s="17"/>
      <c r="DM166" s="17"/>
      <c r="DN166" s="17"/>
      <c r="DO166" s="17"/>
      <c r="DP166" s="17"/>
      <c r="DQ166" s="17"/>
      <c r="DR166" s="17"/>
      <c r="DS166" s="17"/>
      <c r="DT166" s="17"/>
      <c r="DU166" s="17"/>
      <c r="DV166" s="17"/>
      <c r="DW166" s="17"/>
      <c r="DX166" s="17"/>
      <c r="DY166" s="17"/>
      <c r="DZ166" s="17"/>
      <c r="EA166" s="17"/>
      <c r="EB166" s="17"/>
      <c r="EC166" s="17"/>
    </row>
    <row r="167" spans="1:133" x14ac:dyDescent="0.25">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c r="CE167" s="17"/>
      <c r="CF167" s="17"/>
      <c r="CG167" s="17"/>
      <c r="CH167" s="17"/>
      <c r="CI167" s="17"/>
      <c r="CJ167" s="17"/>
      <c r="CK167" s="17"/>
      <c r="CL167" s="17"/>
      <c r="CM167" s="17"/>
      <c r="CN167" s="17"/>
      <c r="CO167" s="17"/>
      <c r="CP167" s="17"/>
      <c r="CQ167" s="17"/>
      <c r="CR167" s="17"/>
      <c r="CS167" s="17"/>
      <c r="CT167" s="17"/>
      <c r="CU167" s="17"/>
      <c r="CV167" s="17"/>
      <c r="CW167" s="17"/>
      <c r="CX167" s="17"/>
      <c r="CY167" s="17"/>
      <c r="CZ167" s="17"/>
      <c r="DA167" s="17"/>
      <c r="DB167" s="17"/>
      <c r="DC167" s="17"/>
      <c r="DD167" s="17"/>
      <c r="DE167" s="17"/>
      <c r="DF167" s="17"/>
      <c r="DG167" s="17"/>
      <c r="DH167" s="17"/>
      <c r="DI167" s="17"/>
      <c r="DJ167" s="17"/>
      <c r="DK167" s="17"/>
      <c r="DL167" s="17"/>
      <c r="DM167" s="17"/>
      <c r="DN167" s="17"/>
      <c r="DO167" s="17"/>
      <c r="DP167" s="17"/>
      <c r="DQ167" s="17"/>
      <c r="DR167" s="17"/>
      <c r="DS167" s="17"/>
      <c r="DT167" s="17"/>
      <c r="DU167" s="17"/>
      <c r="DV167" s="17"/>
      <c r="DW167" s="17"/>
      <c r="DX167" s="17"/>
      <c r="DY167" s="17"/>
      <c r="DZ167" s="17"/>
      <c r="EA167" s="17"/>
      <c r="EB167" s="17"/>
      <c r="EC167" s="17"/>
    </row>
    <row r="168" spans="1:133" x14ac:dyDescent="0.25">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c r="CF168" s="17"/>
      <c r="CG168" s="17"/>
      <c r="CH168" s="17"/>
      <c r="CI168" s="17"/>
      <c r="CJ168" s="17"/>
      <c r="CK168" s="17"/>
      <c r="CL168" s="17"/>
      <c r="CM168" s="17"/>
      <c r="CN168" s="17"/>
      <c r="CO168" s="17"/>
      <c r="CP168" s="17"/>
      <c r="CQ168" s="17"/>
      <c r="CR168" s="17"/>
      <c r="CS168" s="17"/>
      <c r="CT168" s="17"/>
      <c r="CU168" s="17"/>
      <c r="CV168" s="17"/>
      <c r="CW168" s="17"/>
      <c r="CX168" s="17"/>
      <c r="CY168" s="17"/>
      <c r="CZ168" s="17"/>
      <c r="DA168" s="17"/>
      <c r="DB168" s="17"/>
      <c r="DC168" s="17"/>
      <c r="DD168" s="17"/>
      <c r="DE168" s="17"/>
      <c r="DF168" s="17"/>
      <c r="DG168" s="17"/>
      <c r="DH168" s="17"/>
      <c r="DI168" s="17"/>
      <c r="DJ168" s="17"/>
      <c r="DK168" s="17"/>
      <c r="DL168" s="17"/>
      <c r="DM168" s="17"/>
      <c r="DN168" s="17"/>
      <c r="DO168" s="17"/>
      <c r="DP168" s="17"/>
      <c r="DQ168" s="17"/>
      <c r="DR168" s="17"/>
      <c r="DS168" s="17"/>
      <c r="DT168" s="17"/>
      <c r="DU168" s="17"/>
      <c r="DV168" s="17"/>
      <c r="DW168" s="17"/>
      <c r="DX168" s="17"/>
      <c r="DY168" s="17"/>
      <c r="DZ168" s="17"/>
      <c r="EA168" s="17"/>
      <c r="EB168" s="17"/>
      <c r="EC168" s="17"/>
    </row>
    <row r="169" spans="1:133" x14ac:dyDescent="0.25">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c r="CF169" s="17"/>
      <c r="CG169" s="17"/>
      <c r="CH169" s="17"/>
      <c r="CI169" s="17"/>
      <c r="CJ169" s="17"/>
      <c r="CK169" s="17"/>
      <c r="CL169" s="17"/>
      <c r="CM169" s="17"/>
      <c r="CN169" s="17"/>
      <c r="CO169" s="17"/>
      <c r="CP169" s="17"/>
      <c r="CQ169" s="17"/>
      <c r="CR169" s="17"/>
      <c r="CS169" s="17"/>
      <c r="CT169" s="17"/>
      <c r="CU169" s="17"/>
      <c r="CV169" s="17"/>
      <c r="CW169" s="17"/>
      <c r="CX169" s="17"/>
      <c r="CY169" s="17"/>
      <c r="CZ169" s="17"/>
      <c r="DA169" s="17"/>
      <c r="DB169" s="17"/>
      <c r="DC169" s="17"/>
      <c r="DD169" s="17"/>
      <c r="DE169" s="17"/>
      <c r="DF169" s="17"/>
      <c r="DG169" s="17"/>
      <c r="DH169" s="17"/>
      <c r="DI169" s="17"/>
      <c r="DJ169" s="17"/>
      <c r="DK169" s="17"/>
      <c r="DL169" s="17"/>
      <c r="DM169" s="17"/>
      <c r="DN169" s="17"/>
      <c r="DO169" s="17"/>
      <c r="DP169" s="17"/>
      <c r="DQ169" s="17"/>
      <c r="DR169" s="17"/>
      <c r="DS169" s="17"/>
      <c r="DT169" s="17"/>
      <c r="DU169" s="17"/>
      <c r="DV169" s="17"/>
      <c r="DW169" s="17"/>
      <c r="DX169" s="17"/>
      <c r="DY169" s="17"/>
      <c r="DZ169" s="17"/>
      <c r="EA169" s="17"/>
      <c r="EB169" s="17"/>
      <c r="EC169" s="17"/>
    </row>
    <row r="170" spans="1:133" x14ac:dyDescent="0.25">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7"/>
      <c r="CJ170" s="17"/>
      <c r="CK170" s="17"/>
      <c r="CL170" s="17"/>
      <c r="CM170" s="17"/>
      <c r="CN170" s="17"/>
      <c r="CO170" s="17"/>
      <c r="CP170" s="17"/>
      <c r="CQ170" s="17"/>
      <c r="CR170" s="17"/>
      <c r="CS170" s="17"/>
      <c r="CT170" s="17"/>
      <c r="CU170" s="17"/>
      <c r="CV170" s="17"/>
      <c r="CW170" s="17"/>
      <c r="CX170" s="17"/>
      <c r="CY170" s="17"/>
      <c r="CZ170" s="17"/>
      <c r="DA170" s="17"/>
      <c r="DB170" s="17"/>
      <c r="DC170" s="17"/>
      <c r="DD170" s="17"/>
      <c r="DE170" s="17"/>
      <c r="DF170" s="17"/>
      <c r="DG170" s="17"/>
      <c r="DH170" s="17"/>
      <c r="DI170" s="17"/>
      <c r="DJ170" s="17"/>
      <c r="DK170" s="17"/>
      <c r="DL170" s="17"/>
      <c r="DM170" s="17"/>
      <c r="DN170" s="17"/>
      <c r="DO170" s="17"/>
      <c r="DP170" s="17"/>
      <c r="DQ170" s="17"/>
      <c r="DR170" s="17"/>
      <c r="DS170" s="17"/>
      <c r="DT170" s="17"/>
      <c r="DU170" s="17"/>
      <c r="DV170" s="17"/>
      <c r="DW170" s="17"/>
      <c r="DX170" s="17"/>
      <c r="DY170" s="17"/>
      <c r="DZ170" s="17"/>
      <c r="EA170" s="17"/>
      <c r="EB170" s="17"/>
      <c r="EC170" s="17"/>
    </row>
    <row r="171" spans="1:133" x14ac:dyDescent="0.25">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17"/>
      <c r="CH171" s="17"/>
      <c r="CI171" s="17"/>
      <c r="CJ171" s="17"/>
      <c r="CK171" s="17"/>
      <c r="CL171" s="17"/>
      <c r="CM171" s="17"/>
      <c r="CN171" s="17"/>
      <c r="CO171" s="17"/>
      <c r="CP171" s="17"/>
      <c r="CQ171" s="17"/>
      <c r="CR171" s="17"/>
      <c r="CS171" s="17"/>
      <c r="CT171" s="17"/>
      <c r="CU171" s="17"/>
      <c r="CV171" s="17"/>
      <c r="CW171" s="17"/>
      <c r="CX171" s="17"/>
      <c r="CY171" s="17"/>
      <c r="CZ171" s="17"/>
      <c r="DA171" s="17"/>
      <c r="DB171" s="17"/>
      <c r="DC171" s="17"/>
      <c r="DD171" s="17"/>
      <c r="DE171" s="17"/>
      <c r="DF171" s="17"/>
      <c r="DG171" s="17"/>
      <c r="DH171" s="17"/>
      <c r="DI171" s="17"/>
      <c r="DJ171" s="17"/>
      <c r="DK171" s="17"/>
      <c r="DL171" s="17"/>
      <c r="DM171" s="17"/>
      <c r="DN171" s="17"/>
      <c r="DO171" s="17"/>
      <c r="DP171" s="17"/>
      <c r="DQ171" s="17"/>
      <c r="DR171" s="17"/>
      <c r="DS171" s="17"/>
      <c r="DT171" s="17"/>
      <c r="DU171" s="17"/>
      <c r="DV171" s="17"/>
      <c r="DW171" s="17"/>
      <c r="DX171" s="17"/>
      <c r="DY171" s="17"/>
      <c r="DZ171" s="17"/>
      <c r="EA171" s="17"/>
      <c r="EB171" s="17"/>
      <c r="EC171" s="17"/>
    </row>
    <row r="172" spans="1:133" x14ac:dyDescent="0.25">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17"/>
      <c r="CH172" s="17"/>
      <c r="CI172" s="17"/>
      <c r="CJ172" s="17"/>
      <c r="CK172" s="17"/>
      <c r="CL172" s="17"/>
      <c r="CM172" s="17"/>
      <c r="CN172" s="17"/>
      <c r="CO172" s="17"/>
      <c r="CP172" s="17"/>
      <c r="CQ172" s="17"/>
      <c r="CR172" s="17"/>
      <c r="CS172" s="17"/>
      <c r="CT172" s="17"/>
      <c r="CU172" s="17"/>
      <c r="CV172" s="17"/>
      <c r="CW172" s="17"/>
      <c r="CX172" s="17"/>
      <c r="CY172" s="17"/>
      <c r="CZ172" s="17"/>
      <c r="DA172" s="17"/>
      <c r="DB172" s="17"/>
      <c r="DC172" s="17"/>
      <c r="DD172" s="17"/>
      <c r="DE172" s="17"/>
      <c r="DF172" s="17"/>
      <c r="DG172" s="17"/>
      <c r="DH172" s="17"/>
      <c r="DI172" s="17"/>
      <c r="DJ172" s="17"/>
      <c r="DK172" s="17"/>
      <c r="DL172" s="17"/>
      <c r="DM172" s="17"/>
      <c r="DN172" s="17"/>
      <c r="DO172" s="17"/>
      <c r="DP172" s="17"/>
      <c r="DQ172" s="17"/>
      <c r="DR172" s="17"/>
      <c r="DS172" s="17"/>
      <c r="DT172" s="17"/>
      <c r="DU172" s="17"/>
      <c r="DV172" s="17"/>
      <c r="DW172" s="17"/>
      <c r="DX172" s="17"/>
      <c r="DY172" s="17"/>
      <c r="DZ172" s="17"/>
      <c r="EA172" s="17"/>
      <c r="EB172" s="17"/>
      <c r="EC172" s="17"/>
    </row>
    <row r="173" spans="1:133" x14ac:dyDescent="0.25">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c r="CI173" s="17"/>
      <c r="CJ173" s="17"/>
      <c r="CK173" s="17"/>
      <c r="CL173" s="17"/>
      <c r="CM173" s="17"/>
      <c r="CN173" s="17"/>
      <c r="CO173" s="17"/>
      <c r="CP173" s="17"/>
      <c r="CQ173" s="17"/>
      <c r="CR173" s="17"/>
      <c r="CS173" s="17"/>
      <c r="CT173" s="17"/>
      <c r="CU173" s="17"/>
      <c r="CV173" s="17"/>
      <c r="CW173" s="17"/>
      <c r="CX173" s="17"/>
      <c r="CY173" s="17"/>
      <c r="CZ173" s="17"/>
      <c r="DA173" s="17"/>
      <c r="DB173" s="17"/>
      <c r="DC173" s="17"/>
      <c r="DD173" s="17"/>
      <c r="DE173" s="17"/>
      <c r="DF173" s="17"/>
      <c r="DG173" s="17"/>
      <c r="DH173" s="17"/>
      <c r="DI173" s="17"/>
      <c r="DJ173" s="17"/>
      <c r="DK173" s="17"/>
      <c r="DL173" s="17"/>
      <c r="DM173" s="17"/>
      <c r="DN173" s="17"/>
      <c r="DO173" s="17"/>
      <c r="DP173" s="17"/>
      <c r="DQ173" s="17"/>
      <c r="DR173" s="17"/>
      <c r="DS173" s="17"/>
      <c r="DT173" s="17"/>
      <c r="DU173" s="17"/>
      <c r="DV173" s="17"/>
      <c r="DW173" s="17"/>
      <c r="DX173" s="17"/>
      <c r="DY173" s="17"/>
      <c r="DZ173" s="17"/>
      <c r="EA173" s="17"/>
      <c r="EB173" s="17"/>
      <c r="EC173" s="17"/>
    </row>
    <row r="174" spans="1:133" x14ac:dyDescent="0.25">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17"/>
      <c r="CH174" s="17"/>
      <c r="CI174" s="17"/>
      <c r="CJ174" s="17"/>
      <c r="CK174" s="17"/>
      <c r="CL174" s="17"/>
      <c r="CM174" s="17"/>
      <c r="CN174" s="17"/>
      <c r="CO174" s="17"/>
      <c r="CP174" s="17"/>
      <c r="CQ174" s="17"/>
      <c r="CR174" s="17"/>
      <c r="CS174" s="17"/>
      <c r="CT174" s="17"/>
      <c r="CU174" s="17"/>
      <c r="CV174" s="17"/>
      <c r="CW174" s="17"/>
      <c r="CX174" s="17"/>
      <c r="CY174" s="17"/>
      <c r="CZ174" s="17"/>
      <c r="DA174" s="17"/>
      <c r="DB174" s="17"/>
      <c r="DC174" s="17"/>
      <c r="DD174" s="17"/>
      <c r="DE174" s="17"/>
      <c r="DF174" s="17"/>
      <c r="DG174" s="17"/>
      <c r="DH174" s="17"/>
      <c r="DI174" s="17"/>
      <c r="DJ174" s="17"/>
      <c r="DK174" s="17"/>
      <c r="DL174" s="17"/>
      <c r="DM174" s="17"/>
      <c r="DN174" s="17"/>
      <c r="DO174" s="17"/>
      <c r="DP174" s="17"/>
      <c r="DQ174" s="17"/>
      <c r="DR174" s="17"/>
      <c r="DS174" s="17"/>
      <c r="DT174" s="17"/>
      <c r="DU174" s="17"/>
      <c r="DV174" s="17"/>
      <c r="DW174" s="17"/>
      <c r="DX174" s="17"/>
      <c r="DY174" s="17"/>
      <c r="DZ174" s="17"/>
      <c r="EA174" s="17"/>
      <c r="EB174" s="17"/>
      <c r="EC174" s="17"/>
    </row>
    <row r="175" spans="1:133" x14ac:dyDescent="0.2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c r="CL175" s="17"/>
      <c r="CM175" s="17"/>
      <c r="CN175" s="17"/>
      <c r="CO175" s="17"/>
      <c r="CP175" s="17"/>
      <c r="CQ175" s="17"/>
      <c r="CR175" s="17"/>
      <c r="CS175" s="17"/>
      <c r="CT175" s="17"/>
      <c r="CU175" s="17"/>
      <c r="CV175" s="17"/>
      <c r="CW175" s="17"/>
      <c r="CX175" s="17"/>
      <c r="CY175" s="17"/>
      <c r="CZ175" s="17"/>
      <c r="DA175" s="17"/>
      <c r="DB175" s="17"/>
      <c r="DC175" s="17"/>
      <c r="DD175" s="17"/>
      <c r="DE175" s="17"/>
      <c r="DF175" s="17"/>
      <c r="DG175" s="17"/>
      <c r="DH175" s="17"/>
      <c r="DI175" s="17"/>
      <c r="DJ175" s="17"/>
      <c r="DK175" s="17"/>
      <c r="DL175" s="17"/>
      <c r="DM175" s="17"/>
      <c r="DN175" s="17"/>
      <c r="DO175" s="17"/>
      <c r="DP175" s="17"/>
      <c r="DQ175" s="17"/>
      <c r="DR175" s="17"/>
      <c r="DS175" s="17"/>
      <c r="DT175" s="17"/>
      <c r="DU175" s="17"/>
      <c r="DV175" s="17"/>
      <c r="DW175" s="17"/>
      <c r="DX175" s="17"/>
      <c r="DY175" s="17"/>
      <c r="DZ175" s="17"/>
      <c r="EA175" s="17"/>
      <c r="EB175" s="17"/>
      <c r="EC175" s="17"/>
    </row>
    <row r="176" spans="1:133" x14ac:dyDescent="0.25">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17"/>
      <c r="CH176" s="17"/>
      <c r="CI176" s="17"/>
      <c r="CJ176" s="17"/>
      <c r="CK176" s="17"/>
      <c r="CL176" s="17"/>
      <c r="CM176" s="17"/>
      <c r="CN176" s="17"/>
      <c r="CO176" s="17"/>
      <c r="CP176" s="17"/>
      <c r="CQ176" s="17"/>
      <c r="CR176" s="17"/>
      <c r="CS176" s="17"/>
      <c r="CT176" s="17"/>
      <c r="CU176" s="17"/>
      <c r="CV176" s="17"/>
      <c r="CW176" s="17"/>
      <c r="CX176" s="17"/>
      <c r="CY176" s="17"/>
      <c r="CZ176" s="17"/>
      <c r="DA176" s="17"/>
      <c r="DB176" s="17"/>
      <c r="DC176" s="17"/>
      <c r="DD176" s="17"/>
      <c r="DE176" s="17"/>
      <c r="DF176" s="17"/>
      <c r="DG176" s="17"/>
      <c r="DH176" s="17"/>
      <c r="DI176" s="17"/>
      <c r="DJ176" s="17"/>
      <c r="DK176" s="17"/>
      <c r="DL176" s="17"/>
      <c r="DM176" s="17"/>
      <c r="DN176" s="17"/>
      <c r="DO176" s="17"/>
      <c r="DP176" s="17"/>
      <c r="DQ176" s="17"/>
      <c r="DR176" s="17"/>
      <c r="DS176" s="17"/>
      <c r="DT176" s="17"/>
      <c r="DU176" s="17"/>
      <c r="DV176" s="17"/>
      <c r="DW176" s="17"/>
      <c r="DX176" s="17"/>
      <c r="DY176" s="17"/>
      <c r="DZ176" s="17"/>
      <c r="EA176" s="17"/>
      <c r="EB176" s="17"/>
      <c r="EC176" s="17"/>
    </row>
    <row r="177" spans="1:133" x14ac:dyDescent="0.25">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c r="CF177" s="17"/>
      <c r="CG177" s="17"/>
      <c r="CH177" s="17"/>
      <c r="CI177" s="17"/>
      <c r="CJ177" s="17"/>
      <c r="CK177" s="17"/>
      <c r="CL177" s="17"/>
      <c r="CM177" s="17"/>
      <c r="CN177" s="17"/>
      <c r="CO177" s="17"/>
      <c r="CP177" s="17"/>
      <c r="CQ177" s="17"/>
      <c r="CR177" s="17"/>
      <c r="CS177" s="17"/>
      <c r="CT177" s="17"/>
      <c r="CU177" s="17"/>
      <c r="CV177" s="17"/>
      <c r="CW177" s="17"/>
      <c r="CX177" s="17"/>
      <c r="CY177" s="17"/>
      <c r="CZ177" s="17"/>
      <c r="DA177" s="17"/>
      <c r="DB177" s="17"/>
      <c r="DC177" s="17"/>
      <c r="DD177" s="17"/>
      <c r="DE177" s="17"/>
      <c r="DF177" s="17"/>
      <c r="DG177" s="17"/>
      <c r="DH177" s="17"/>
      <c r="DI177" s="17"/>
      <c r="DJ177" s="17"/>
      <c r="DK177" s="17"/>
      <c r="DL177" s="17"/>
      <c r="DM177" s="17"/>
      <c r="DN177" s="17"/>
      <c r="DO177" s="17"/>
      <c r="DP177" s="17"/>
      <c r="DQ177" s="17"/>
      <c r="DR177" s="17"/>
      <c r="DS177" s="17"/>
      <c r="DT177" s="17"/>
      <c r="DU177" s="17"/>
      <c r="DV177" s="17"/>
      <c r="DW177" s="17"/>
      <c r="DX177" s="17"/>
      <c r="DY177" s="17"/>
      <c r="DZ177" s="17"/>
      <c r="EA177" s="17"/>
      <c r="EB177" s="17"/>
      <c r="EC177" s="17"/>
    </row>
    <row r="178" spans="1:133" x14ac:dyDescent="0.25">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7"/>
      <c r="CJ178" s="17"/>
      <c r="CK178" s="17"/>
      <c r="CL178" s="17"/>
      <c r="CM178" s="17"/>
      <c r="CN178" s="17"/>
      <c r="CO178" s="17"/>
      <c r="CP178" s="17"/>
      <c r="CQ178" s="17"/>
      <c r="CR178" s="17"/>
      <c r="CS178" s="17"/>
      <c r="CT178" s="17"/>
      <c r="CU178" s="17"/>
      <c r="CV178" s="17"/>
      <c r="CW178" s="17"/>
      <c r="CX178" s="17"/>
      <c r="CY178" s="17"/>
      <c r="CZ178" s="17"/>
      <c r="DA178" s="17"/>
      <c r="DB178" s="17"/>
      <c r="DC178" s="17"/>
      <c r="DD178" s="17"/>
      <c r="DE178" s="17"/>
      <c r="DF178" s="17"/>
      <c r="DG178" s="17"/>
      <c r="DH178" s="17"/>
      <c r="DI178" s="17"/>
      <c r="DJ178" s="17"/>
      <c r="DK178" s="17"/>
      <c r="DL178" s="17"/>
      <c r="DM178" s="17"/>
      <c r="DN178" s="17"/>
      <c r="DO178" s="17"/>
      <c r="DP178" s="17"/>
      <c r="DQ178" s="17"/>
      <c r="DR178" s="17"/>
      <c r="DS178" s="17"/>
      <c r="DT178" s="17"/>
      <c r="DU178" s="17"/>
      <c r="DV178" s="17"/>
      <c r="DW178" s="17"/>
      <c r="DX178" s="17"/>
      <c r="DY178" s="17"/>
      <c r="DZ178" s="17"/>
      <c r="EA178" s="17"/>
      <c r="EB178" s="17"/>
      <c r="EC178" s="17"/>
    </row>
    <row r="179" spans="1:133" x14ac:dyDescent="0.25">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c r="CO179" s="17"/>
      <c r="CP179" s="17"/>
      <c r="CQ179" s="17"/>
      <c r="CR179" s="17"/>
      <c r="CS179" s="17"/>
      <c r="CT179" s="17"/>
      <c r="CU179" s="17"/>
      <c r="CV179" s="17"/>
      <c r="CW179" s="17"/>
      <c r="CX179" s="17"/>
      <c r="CY179" s="17"/>
      <c r="CZ179" s="17"/>
      <c r="DA179" s="17"/>
      <c r="DB179" s="17"/>
      <c r="DC179" s="17"/>
      <c r="DD179" s="17"/>
      <c r="DE179" s="17"/>
      <c r="DF179" s="17"/>
      <c r="DG179" s="17"/>
      <c r="DH179" s="17"/>
      <c r="DI179" s="17"/>
      <c r="DJ179" s="17"/>
      <c r="DK179" s="17"/>
      <c r="DL179" s="17"/>
      <c r="DM179" s="17"/>
      <c r="DN179" s="17"/>
      <c r="DO179" s="17"/>
      <c r="DP179" s="17"/>
      <c r="DQ179" s="17"/>
      <c r="DR179" s="17"/>
      <c r="DS179" s="17"/>
      <c r="DT179" s="17"/>
      <c r="DU179" s="17"/>
      <c r="DV179" s="17"/>
      <c r="DW179" s="17"/>
      <c r="DX179" s="17"/>
      <c r="DY179" s="17"/>
      <c r="DZ179" s="17"/>
      <c r="EA179" s="17"/>
      <c r="EB179" s="17"/>
      <c r="EC179" s="17"/>
    </row>
    <row r="180" spans="1:133" x14ac:dyDescent="0.25">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7"/>
      <c r="CJ180" s="17"/>
      <c r="CK180" s="17"/>
      <c r="CL180" s="17"/>
      <c r="CM180" s="17"/>
      <c r="CN180" s="17"/>
      <c r="CO180" s="17"/>
      <c r="CP180" s="17"/>
      <c r="CQ180" s="17"/>
      <c r="CR180" s="17"/>
      <c r="CS180" s="17"/>
      <c r="CT180" s="17"/>
      <c r="CU180" s="17"/>
      <c r="CV180" s="17"/>
      <c r="CW180" s="17"/>
      <c r="CX180" s="17"/>
      <c r="CY180" s="17"/>
      <c r="CZ180" s="17"/>
      <c r="DA180" s="17"/>
      <c r="DB180" s="17"/>
      <c r="DC180" s="17"/>
      <c r="DD180" s="17"/>
      <c r="DE180" s="17"/>
      <c r="DF180" s="17"/>
      <c r="DG180" s="17"/>
      <c r="DH180" s="17"/>
      <c r="DI180" s="17"/>
      <c r="DJ180" s="17"/>
      <c r="DK180" s="17"/>
      <c r="DL180" s="17"/>
      <c r="DM180" s="17"/>
      <c r="DN180" s="17"/>
      <c r="DO180" s="17"/>
      <c r="DP180" s="17"/>
      <c r="DQ180" s="17"/>
      <c r="DR180" s="17"/>
      <c r="DS180" s="17"/>
      <c r="DT180" s="17"/>
      <c r="DU180" s="17"/>
      <c r="DV180" s="17"/>
      <c r="DW180" s="17"/>
      <c r="DX180" s="17"/>
      <c r="DY180" s="17"/>
      <c r="DZ180" s="17"/>
      <c r="EA180" s="17"/>
      <c r="EB180" s="17"/>
      <c r="EC180" s="17"/>
    </row>
    <row r="181" spans="1:133" x14ac:dyDescent="0.25">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17"/>
      <c r="CH181" s="17"/>
      <c r="CI181" s="17"/>
      <c r="CJ181" s="17"/>
      <c r="CK181" s="17"/>
      <c r="CL181" s="17"/>
      <c r="CM181" s="17"/>
      <c r="CN181" s="17"/>
      <c r="CO181" s="17"/>
      <c r="CP181" s="17"/>
      <c r="CQ181" s="17"/>
      <c r="CR181" s="17"/>
      <c r="CS181" s="17"/>
      <c r="CT181" s="17"/>
      <c r="CU181" s="17"/>
      <c r="CV181" s="17"/>
      <c r="CW181" s="17"/>
      <c r="CX181" s="17"/>
      <c r="CY181" s="17"/>
      <c r="CZ181" s="17"/>
      <c r="DA181" s="17"/>
      <c r="DB181" s="17"/>
      <c r="DC181" s="17"/>
      <c r="DD181" s="17"/>
      <c r="DE181" s="17"/>
      <c r="DF181" s="17"/>
      <c r="DG181" s="17"/>
      <c r="DH181" s="17"/>
      <c r="DI181" s="17"/>
      <c r="DJ181" s="17"/>
      <c r="DK181" s="17"/>
      <c r="DL181" s="17"/>
      <c r="DM181" s="17"/>
      <c r="DN181" s="17"/>
      <c r="DO181" s="17"/>
      <c r="DP181" s="17"/>
      <c r="DQ181" s="17"/>
      <c r="DR181" s="17"/>
      <c r="DS181" s="17"/>
      <c r="DT181" s="17"/>
      <c r="DU181" s="17"/>
      <c r="DV181" s="17"/>
      <c r="DW181" s="17"/>
      <c r="DX181" s="17"/>
      <c r="DY181" s="17"/>
      <c r="DZ181" s="17"/>
      <c r="EA181" s="17"/>
      <c r="EB181" s="17"/>
      <c r="EC181" s="17"/>
    </row>
    <row r="182" spans="1:133" x14ac:dyDescent="0.25">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c r="CL182" s="17"/>
      <c r="CM182" s="17"/>
      <c r="CN182" s="17"/>
      <c r="CO182" s="17"/>
      <c r="CP182" s="17"/>
      <c r="CQ182" s="17"/>
      <c r="CR182" s="17"/>
      <c r="CS182" s="17"/>
      <c r="CT182" s="17"/>
      <c r="CU182" s="17"/>
      <c r="CV182" s="17"/>
      <c r="CW182" s="17"/>
      <c r="CX182" s="17"/>
      <c r="CY182" s="17"/>
      <c r="CZ182" s="17"/>
      <c r="DA182" s="17"/>
      <c r="DB182" s="17"/>
      <c r="DC182" s="17"/>
      <c r="DD182" s="17"/>
      <c r="DE182" s="17"/>
      <c r="DF182" s="17"/>
      <c r="DG182" s="17"/>
      <c r="DH182" s="17"/>
      <c r="DI182" s="17"/>
      <c r="DJ182" s="17"/>
      <c r="DK182" s="17"/>
      <c r="DL182" s="17"/>
      <c r="DM182" s="17"/>
      <c r="DN182" s="17"/>
      <c r="DO182" s="17"/>
      <c r="DP182" s="17"/>
      <c r="DQ182" s="17"/>
      <c r="DR182" s="17"/>
      <c r="DS182" s="17"/>
      <c r="DT182" s="17"/>
      <c r="DU182" s="17"/>
      <c r="DV182" s="17"/>
      <c r="DW182" s="17"/>
      <c r="DX182" s="17"/>
      <c r="DY182" s="17"/>
      <c r="DZ182" s="17"/>
      <c r="EA182" s="17"/>
      <c r="EB182" s="17"/>
      <c r="EC182" s="17"/>
    </row>
    <row r="183" spans="1:133" x14ac:dyDescent="0.25">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17"/>
      <c r="CH183" s="17"/>
      <c r="CI183" s="17"/>
      <c r="CJ183" s="17"/>
      <c r="CK183" s="17"/>
      <c r="CL183" s="17"/>
      <c r="CM183" s="17"/>
      <c r="CN183" s="17"/>
      <c r="CO183" s="17"/>
      <c r="CP183" s="17"/>
      <c r="CQ183" s="17"/>
      <c r="CR183" s="17"/>
      <c r="CS183" s="17"/>
      <c r="CT183" s="17"/>
      <c r="CU183" s="17"/>
      <c r="CV183" s="17"/>
      <c r="CW183" s="17"/>
      <c r="CX183" s="17"/>
      <c r="CY183" s="17"/>
      <c r="CZ183" s="17"/>
      <c r="DA183" s="17"/>
      <c r="DB183" s="17"/>
      <c r="DC183" s="17"/>
      <c r="DD183" s="17"/>
      <c r="DE183" s="17"/>
      <c r="DF183" s="17"/>
      <c r="DG183" s="17"/>
      <c r="DH183" s="17"/>
      <c r="DI183" s="17"/>
      <c r="DJ183" s="17"/>
      <c r="DK183" s="17"/>
      <c r="DL183" s="17"/>
      <c r="DM183" s="17"/>
      <c r="DN183" s="17"/>
      <c r="DO183" s="17"/>
      <c r="DP183" s="17"/>
      <c r="DQ183" s="17"/>
      <c r="DR183" s="17"/>
      <c r="DS183" s="17"/>
      <c r="DT183" s="17"/>
      <c r="DU183" s="17"/>
      <c r="DV183" s="17"/>
      <c r="DW183" s="17"/>
      <c r="DX183" s="17"/>
      <c r="DY183" s="17"/>
      <c r="DZ183" s="17"/>
      <c r="EA183" s="17"/>
      <c r="EB183" s="17"/>
      <c r="EC183" s="17"/>
    </row>
    <row r="184" spans="1:133" x14ac:dyDescent="0.25">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17"/>
      <c r="CH184" s="17"/>
      <c r="CI184" s="17"/>
      <c r="CJ184" s="17"/>
      <c r="CK184" s="17"/>
      <c r="CL184" s="17"/>
      <c r="CM184" s="17"/>
      <c r="CN184" s="17"/>
      <c r="CO184" s="17"/>
      <c r="CP184" s="17"/>
      <c r="CQ184" s="17"/>
      <c r="CR184" s="17"/>
      <c r="CS184" s="17"/>
      <c r="CT184" s="17"/>
      <c r="CU184" s="17"/>
      <c r="CV184" s="17"/>
      <c r="CW184" s="17"/>
      <c r="CX184" s="17"/>
      <c r="CY184" s="17"/>
      <c r="CZ184" s="17"/>
      <c r="DA184" s="17"/>
      <c r="DB184" s="17"/>
      <c r="DC184" s="17"/>
      <c r="DD184" s="17"/>
      <c r="DE184" s="17"/>
      <c r="DF184" s="17"/>
      <c r="DG184" s="17"/>
      <c r="DH184" s="17"/>
      <c r="DI184" s="17"/>
      <c r="DJ184" s="17"/>
      <c r="DK184" s="17"/>
      <c r="DL184" s="17"/>
      <c r="DM184" s="17"/>
      <c r="DN184" s="17"/>
      <c r="DO184" s="17"/>
      <c r="DP184" s="17"/>
      <c r="DQ184" s="17"/>
      <c r="DR184" s="17"/>
      <c r="DS184" s="17"/>
      <c r="DT184" s="17"/>
      <c r="DU184" s="17"/>
      <c r="DV184" s="17"/>
      <c r="DW184" s="17"/>
      <c r="DX184" s="17"/>
      <c r="DY184" s="17"/>
      <c r="DZ184" s="17"/>
      <c r="EA184" s="17"/>
      <c r="EB184" s="17"/>
      <c r="EC184" s="17"/>
    </row>
    <row r="185" spans="1:133" x14ac:dyDescent="0.2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c r="CF185" s="17"/>
      <c r="CG185" s="17"/>
      <c r="CH185" s="17"/>
      <c r="CI185" s="17"/>
      <c r="CJ185" s="17"/>
      <c r="CK185" s="17"/>
      <c r="CL185" s="17"/>
      <c r="CM185" s="17"/>
      <c r="CN185" s="17"/>
      <c r="CO185" s="17"/>
      <c r="CP185" s="17"/>
      <c r="CQ185" s="17"/>
      <c r="CR185" s="17"/>
      <c r="CS185" s="17"/>
      <c r="CT185" s="17"/>
      <c r="CU185" s="17"/>
      <c r="CV185" s="17"/>
      <c r="CW185" s="17"/>
      <c r="CX185" s="17"/>
      <c r="CY185" s="17"/>
      <c r="CZ185" s="17"/>
      <c r="DA185" s="17"/>
      <c r="DB185" s="17"/>
      <c r="DC185" s="17"/>
      <c r="DD185" s="17"/>
      <c r="DE185" s="17"/>
      <c r="DF185" s="17"/>
      <c r="DG185" s="17"/>
      <c r="DH185" s="17"/>
      <c r="DI185" s="17"/>
      <c r="DJ185" s="17"/>
      <c r="DK185" s="17"/>
      <c r="DL185" s="17"/>
      <c r="DM185" s="17"/>
      <c r="DN185" s="17"/>
      <c r="DO185" s="17"/>
      <c r="DP185" s="17"/>
      <c r="DQ185" s="17"/>
      <c r="DR185" s="17"/>
      <c r="DS185" s="17"/>
      <c r="DT185" s="17"/>
      <c r="DU185" s="17"/>
      <c r="DV185" s="17"/>
      <c r="DW185" s="17"/>
      <c r="DX185" s="17"/>
      <c r="DY185" s="17"/>
      <c r="DZ185" s="17"/>
      <c r="EA185" s="17"/>
      <c r="EB185" s="17"/>
      <c r="EC185" s="17"/>
    </row>
    <row r="186" spans="1:133" x14ac:dyDescent="0.25">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7"/>
      <c r="CJ186" s="17"/>
      <c r="CK186" s="17"/>
      <c r="CL186" s="17"/>
      <c r="CM186" s="17"/>
      <c r="CN186" s="17"/>
      <c r="CO186" s="17"/>
      <c r="CP186" s="17"/>
      <c r="CQ186" s="17"/>
      <c r="CR186" s="17"/>
      <c r="CS186" s="17"/>
      <c r="CT186" s="17"/>
      <c r="CU186" s="17"/>
      <c r="CV186" s="17"/>
      <c r="CW186" s="17"/>
      <c r="CX186" s="17"/>
      <c r="CY186" s="17"/>
      <c r="CZ186" s="17"/>
      <c r="DA186" s="17"/>
      <c r="DB186" s="17"/>
      <c r="DC186" s="17"/>
      <c r="DD186" s="17"/>
      <c r="DE186" s="17"/>
      <c r="DF186" s="17"/>
      <c r="DG186" s="17"/>
      <c r="DH186" s="17"/>
      <c r="DI186" s="17"/>
      <c r="DJ186" s="17"/>
      <c r="DK186" s="17"/>
      <c r="DL186" s="17"/>
      <c r="DM186" s="17"/>
      <c r="DN186" s="17"/>
      <c r="DO186" s="17"/>
      <c r="DP186" s="17"/>
      <c r="DQ186" s="17"/>
      <c r="DR186" s="17"/>
      <c r="DS186" s="17"/>
      <c r="DT186" s="17"/>
      <c r="DU186" s="17"/>
      <c r="DV186" s="17"/>
      <c r="DW186" s="17"/>
      <c r="DX186" s="17"/>
      <c r="DY186" s="17"/>
      <c r="DZ186" s="17"/>
      <c r="EA186" s="17"/>
      <c r="EB186" s="17"/>
      <c r="EC186" s="17"/>
    </row>
    <row r="187" spans="1:133" x14ac:dyDescent="0.25">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7"/>
      <c r="CJ187" s="17"/>
      <c r="CK187" s="17"/>
      <c r="CL187" s="17"/>
      <c r="CM187" s="17"/>
      <c r="CN187" s="17"/>
      <c r="CO187" s="17"/>
      <c r="CP187" s="17"/>
      <c r="CQ187" s="17"/>
      <c r="CR187" s="17"/>
      <c r="CS187" s="17"/>
      <c r="CT187" s="17"/>
      <c r="CU187" s="17"/>
      <c r="CV187" s="17"/>
      <c r="CW187" s="17"/>
      <c r="CX187" s="17"/>
      <c r="CY187" s="17"/>
      <c r="CZ187" s="17"/>
      <c r="DA187" s="17"/>
      <c r="DB187" s="17"/>
      <c r="DC187" s="17"/>
      <c r="DD187" s="17"/>
      <c r="DE187" s="17"/>
      <c r="DF187" s="17"/>
      <c r="DG187" s="17"/>
      <c r="DH187" s="17"/>
      <c r="DI187" s="17"/>
      <c r="DJ187" s="17"/>
      <c r="DK187" s="17"/>
      <c r="DL187" s="17"/>
      <c r="DM187" s="17"/>
      <c r="DN187" s="17"/>
      <c r="DO187" s="17"/>
      <c r="DP187" s="17"/>
      <c r="DQ187" s="17"/>
      <c r="DR187" s="17"/>
      <c r="DS187" s="17"/>
      <c r="DT187" s="17"/>
      <c r="DU187" s="17"/>
      <c r="DV187" s="17"/>
      <c r="DW187" s="17"/>
      <c r="DX187" s="17"/>
      <c r="DY187" s="17"/>
      <c r="DZ187" s="17"/>
      <c r="EA187" s="17"/>
      <c r="EB187" s="17"/>
      <c r="EC187" s="17"/>
    </row>
    <row r="188" spans="1:133" x14ac:dyDescent="0.25">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7"/>
      <c r="CJ188" s="17"/>
      <c r="CK188" s="17"/>
      <c r="CL188" s="17"/>
      <c r="CM188" s="17"/>
      <c r="CN188" s="17"/>
      <c r="CO188" s="17"/>
      <c r="CP188" s="17"/>
      <c r="CQ188" s="17"/>
      <c r="CR188" s="17"/>
      <c r="CS188" s="17"/>
      <c r="CT188" s="17"/>
      <c r="CU188" s="17"/>
      <c r="CV188" s="17"/>
      <c r="CW188" s="17"/>
      <c r="CX188" s="17"/>
      <c r="CY188" s="17"/>
      <c r="CZ188" s="17"/>
      <c r="DA188" s="17"/>
      <c r="DB188" s="17"/>
      <c r="DC188" s="17"/>
      <c r="DD188" s="17"/>
      <c r="DE188" s="17"/>
      <c r="DF188" s="17"/>
      <c r="DG188" s="17"/>
      <c r="DH188" s="17"/>
      <c r="DI188" s="17"/>
      <c r="DJ188" s="17"/>
      <c r="DK188" s="17"/>
      <c r="DL188" s="17"/>
      <c r="DM188" s="17"/>
      <c r="DN188" s="17"/>
      <c r="DO188" s="17"/>
      <c r="DP188" s="17"/>
      <c r="DQ188" s="17"/>
      <c r="DR188" s="17"/>
      <c r="DS188" s="17"/>
      <c r="DT188" s="17"/>
      <c r="DU188" s="17"/>
      <c r="DV188" s="17"/>
      <c r="DW188" s="17"/>
      <c r="DX188" s="17"/>
      <c r="DY188" s="17"/>
      <c r="DZ188" s="17"/>
      <c r="EA188" s="17"/>
      <c r="EB188" s="17"/>
      <c r="EC188" s="17"/>
    </row>
    <row r="189" spans="1:133" x14ac:dyDescent="0.25">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17"/>
      <c r="CH189" s="17"/>
      <c r="CI189" s="17"/>
      <c r="CJ189" s="17"/>
      <c r="CK189" s="17"/>
      <c r="CL189" s="17"/>
      <c r="CM189" s="17"/>
      <c r="CN189" s="17"/>
      <c r="CO189" s="17"/>
      <c r="CP189" s="17"/>
      <c r="CQ189" s="17"/>
      <c r="CR189" s="17"/>
      <c r="CS189" s="17"/>
      <c r="CT189" s="17"/>
      <c r="CU189" s="17"/>
      <c r="CV189" s="17"/>
      <c r="CW189" s="17"/>
      <c r="CX189" s="17"/>
      <c r="CY189" s="17"/>
      <c r="CZ189" s="17"/>
      <c r="DA189" s="17"/>
      <c r="DB189" s="17"/>
      <c r="DC189" s="17"/>
      <c r="DD189" s="17"/>
      <c r="DE189" s="17"/>
      <c r="DF189" s="17"/>
      <c r="DG189" s="17"/>
      <c r="DH189" s="17"/>
      <c r="DI189" s="17"/>
      <c r="DJ189" s="17"/>
      <c r="DK189" s="17"/>
      <c r="DL189" s="17"/>
      <c r="DM189" s="17"/>
      <c r="DN189" s="17"/>
      <c r="DO189" s="17"/>
      <c r="DP189" s="17"/>
      <c r="DQ189" s="17"/>
      <c r="DR189" s="17"/>
      <c r="DS189" s="17"/>
      <c r="DT189" s="17"/>
      <c r="DU189" s="17"/>
      <c r="DV189" s="17"/>
      <c r="DW189" s="17"/>
      <c r="DX189" s="17"/>
      <c r="DY189" s="17"/>
      <c r="DZ189" s="17"/>
      <c r="EA189" s="17"/>
      <c r="EB189" s="17"/>
      <c r="EC189" s="17"/>
    </row>
    <row r="190" spans="1:133" x14ac:dyDescent="0.25">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7"/>
      <c r="CJ190" s="17"/>
      <c r="CK190" s="17"/>
      <c r="CL190" s="17"/>
      <c r="CM190" s="17"/>
      <c r="CN190" s="17"/>
      <c r="CO190" s="17"/>
      <c r="CP190" s="17"/>
      <c r="CQ190" s="17"/>
      <c r="CR190" s="17"/>
      <c r="CS190" s="17"/>
      <c r="CT190" s="17"/>
      <c r="CU190" s="17"/>
      <c r="CV190" s="17"/>
      <c r="CW190" s="17"/>
      <c r="CX190" s="17"/>
      <c r="CY190" s="17"/>
      <c r="CZ190" s="17"/>
      <c r="DA190" s="17"/>
      <c r="DB190" s="17"/>
      <c r="DC190" s="17"/>
      <c r="DD190" s="17"/>
      <c r="DE190" s="17"/>
      <c r="DF190" s="17"/>
      <c r="DG190" s="17"/>
      <c r="DH190" s="17"/>
      <c r="DI190" s="17"/>
      <c r="DJ190" s="17"/>
      <c r="DK190" s="17"/>
      <c r="DL190" s="17"/>
      <c r="DM190" s="17"/>
      <c r="DN190" s="17"/>
      <c r="DO190" s="17"/>
      <c r="DP190" s="17"/>
      <c r="DQ190" s="17"/>
      <c r="DR190" s="17"/>
      <c r="DS190" s="17"/>
      <c r="DT190" s="17"/>
      <c r="DU190" s="17"/>
      <c r="DV190" s="17"/>
      <c r="DW190" s="17"/>
      <c r="DX190" s="17"/>
      <c r="DY190" s="17"/>
      <c r="DZ190" s="17"/>
      <c r="EA190" s="17"/>
      <c r="EB190" s="17"/>
      <c r="EC190" s="17"/>
    </row>
    <row r="191" spans="1:133" x14ac:dyDescent="0.25">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c r="CJ191" s="17"/>
      <c r="CK191" s="17"/>
      <c r="CL191" s="17"/>
      <c r="CM191" s="17"/>
      <c r="CN191" s="17"/>
      <c r="CO191" s="17"/>
      <c r="CP191" s="17"/>
      <c r="CQ191" s="17"/>
      <c r="CR191" s="17"/>
      <c r="CS191" s="17"/>
      <c r="CT191" s="17"/>
      <c r="CU191" s="17"/>
      <c r="CV191" s="17"/>
      <c r="CW191" s="17"/>
      <c r="CX191" s="17"/>
      <c r="CY191" s="17"/>
      <c r="CZ191" s="17"/>
      <c r="DA191" s="17"/>
      <c r="DB191" s="17"/>
      <c r="DC191" s="17"/>
      <c r="DD191" s="17"/>
      <c r="DE191" s="17"/>
      <c r="DF191" s="17"/>
      <c r="DG191" s="17"/>
      <c r="DH191" s="17"/>
      <c r="DI191" s="17"/>
      <c r="DJ191" s="17"/>
      <c r="DK191" s="17"/>
      <c r="DL191" s="17"/>
      <c r="DM191" s="17"/>
      <c r="DN191" s="17"/>
      <c r="DO191" s="17"/>
      <c r="DP191" s="17"/>
      <c r="DQ191" s="17"/>
      <c r="DR191" s="17"/>
      <c r="DS191" s="17"/>
      <c r="DT191" s="17"/>
      <c r="DU191" s="17"/>
      <c r="DV191" s="17"/>
      <c r="DW191" s="17"/>
      <c r="DX191" s="17"/>
      <c r="DY191" s="17"/>
      <c r="DZ191" s="17"/>
      <c r="EA191" s="17"/>
      <c r="EB191" s="17"/>
      <c r="EC191" s="17"/>
    </row>
    <row r="192" spans="1:133" x14ac:dyDescent="0.25">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7"/>
      <c r="CJ192" s="17"/>
      <c r="CK192" s="17"/>
      <c r="CL192" s="17"/>
      <c r="CM192" s="17"/>
      <c r="CN192" s="17"/>
      <c r="CO192" s="17"/>
      <c r="CP192" s="17"/>
      <c r="CQ192" s="17"/>
      <c r="CR192" s="17"/>
      <c r="CS192" s="17"/>
      <c r="CT192" s="17"/>
      <c r="CU192" s="17"/>
      <c r="CV192" s="17"/>
      <c r="CW192" s="17"/>
      <c r="CX192" s="17"/>
      <c r="CY192" s="17"/>
      <c r="CZ192" s="17"/>
      <c r="DA192" s="17"/>
      <c r="DB192" s="17"/>
      <c r="DC192" s="17"/>
      <c r="DD192" s="17"/>
      <c r="DE192" s="17"/>
      <c r="DF192" s="17"/>
      <c r="DG192" s="17"/>
      <c r="DH192" s="17"/>
      <c r="DI192" s="17"/>
      <c r="DJ192" s="17"/>
      <c r="DK192" s="17"/>
      <c r="DL192" s="17"/>
      <c r="DM192" s="17"/>
      <c r="DN192" s="17"/>
      <c r="DO192" s="17"/>
      <c r="DP192" s="17"/>
      <c r="DQ192" s="17"/>
      <c r="DR192" s="17"/>
      <c r="DS192" s="17"/>
      <c r="DT192" s="17"/>
      <c r="DU192" s="17"/>
      <c r="DV192" s="17"/>
      <c r="DW192" s="17"/>
      <c r="DX192" s="17"/>
      <c r="DY192" s="17"/>
      <c r="DZ192" s="17"/>
      <c r="EA192" s="17"/>
      <c r="EB192" s="17"/>
      <c r="EC192" s="17"/>
    </row>
    <row r="193" spans="1:133" x14ac:dyDescent="0.25">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c r="CL193" s="17"/>
      <c r="CM193" s="17"/>
      <c r="CN193" s="17"/>
      <c r="CO193" s="17"/>
      <c r="CP193" s="17"/>
      <c r="CQ193" s="17"/>
      <c r="CR193" s="17"/>
      <c r="CS193" s="17"/>
      <c r="CT193" s="17"/>
      <c r="CU193" s="17"/>
      <c r="CV193" s="17"/>
      <c r="CW193" s="17"/>
      <c r="CX193" s="17"/>
      <c r="CY193" s="17"/>
      <c r="CZ193" s="17"/>
      <c r="DA193" s="17"/>
      <c r="DB193" s="17"/>
      <c r="DC193" s="17"/>
      <c r="DD193" s="17"/>
      <c r="DE193" s="17"/>
      <c r="DF193" s="17"/>
      <c r="DG193" s="17"/>
      <c r="DH193" s="17"/>
      <c r="DI193" s="17"/>
      <c r="DJ193" s="17"/>
      <c r="DK193" s="17"/>
      <c r="DL193" s="17"/>
      <c r="DM193" s="17"/>
      <c r="DN193" s="17"/>
      <c r="DO193" s="17"/>
      <c r="DP193" s="17"/>
      <c r="DQ193" s="17"/>
      <c r="DR193" s="17"/>
      <c r="DS193" s="17"/>
      <c r="DT193" s="17"/>
      <c r="DU193" s="17"/>
      <c r="DV193" s="17"/>
      <c r="DW193" s="17"/>
      <c r="DX193" s="17"/>
      <c r="DY193" s="17"/>
      <c r="DZ193" s="17"/>
      <c r="EA193" s="17"/>
      <c r="EB193" s="17"/>
      <c r="EC193" s="17"/>
    </row>
    <row r="194" spans="1:133" x14ac:dyDescent="0.25">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7"/>
      <c r="CJ194" s="17"/>
      <c r="CK194" s="17"/>
      <c r="CL194" s="17"/>
      <c r="CM194" s="17"/>
      <c r="CN194" s="17"/>
      <c r="CO194" s="17"/>
      <c r="CP194" s="17"/>
      <c r="CQ194" s="17"/>
      <c r="CR194" s="17"/>
      <c r="CS194" s="17"/>
      <c r="CT194" s="17"/>
      <c r="CU194" s="17"/>
      <c r="CV194" s="17"/>
      <c r="CW194" s="17"/>
      <c r="CX194" s="17"/>
      <c r="CY194" s="17"/>
      <c r="CZ194" s="17"/>
      <c r="DA194" s="17"/>
      <c r="DB194" s="17"/>
      <c r="DC194" s="17"/>
      <c r="DD194" s="17"/>
      <c r="DE194" s="17"/>
      <c r="DF194" s="17"/>
      <c r="DG194" s="17"/>
      <c r="DH194" s="17"/>
      <c r="DI194" s="17"/>
      <c r="DJ194" s="17"/>
      <c r="DK194" s="17"/>
      <c r="DL194" s="17"/>
      <c r="DM194" s="17"/>
      <c r="DN194" s="17"/>
      <c r="DO194" s="17"/>
      <c r="DP194" s="17"/>
      <c r="DQ194" s="17"/>
      <c r="DR194" s="17"/>
      <c r="DS194" s="17"/>
      <c r="DT194" s="17"/>
      <c r="DU194" s="17"/>
      <c r="DV194" s="17"/>
      <c r="DW194" s="17"/>
      <c r="DX194" s="17"/>
      <c r="DY194" s="17"/>
      <c r="DZ194" s="17"/>
      <c r="EA194" s="17"/>
      <c r="EB194" s="17"/>
      <c r="EC194" s="17"/>
    </row>
    <row r="195" spans="1:133" x14ac:dyDescent="0.2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17"/>
      <c r="CH195" s="17"/>
      <c r="CI195" s="17"/>
      <c r="CJ195" s="17"/>
      <c r="CK195" s="17"/>
      <c r="CL195" s="17"/>
      <c r="CM195" s="17"/>
      <c r="CN195" s="17"/>
      <c r="CO195" s="17"/>
      <c r="CP195" s="17"/>
      <c r="CQ195" s="17"/>
      <c r="CR195" s="17"/>
      <c r="CS195" s="17"/>
      <c r="CT195" s="17"/>
      <c r="CU195" s="17"/>
      <c r="CV195" s="17"/>
      <c r="CW195" s="17"/>
      <c r="CX195" s="17"/>
      <c r="CY195" s="17"/>
      <c r="CZ195" s="17"/>
      <c r="DA195" s="17"/>
      <c r="DB195" s="17"/>
      <c r="DC195" s="17"/>
      <c r="DD195" s="17"/>
      <c r="DE195" s="17"/>
      <c r="DF195" s="17"/>
      <c r="DG195" s="17"/>
      <c r="DH195" s="17"/>
      <c r="DI195" s="17"/>
      <c r="DJ195" s="17"/>
      <c r="DK195" s="17"/>
      <c r="DL195" s="17"/>
      <c r="DM195" s="17"/>
      <c r="DN195" s="17"/>
      <c r="DO195" s="17"/>
      <c r="DP195" s="17"/>
      <c r="DQ195" s="17"/>
      <c r="DR195" s="17"/>
      <c r="DS195" s="17"/>
      <c r="DT195" s="17"/>
      <c r="DU195" s="17"/>
      <c r="DV195" s="17"/>
      <c r="DW195" s="17"/>
      <c r="DX195" s="17"/>
      <c r="DY195" s="17"/>
      <c r="DZ195" s="17"/>
      <c r="EA195" s="17"/>
      <c r="EB195" s="17"/>
      <c r="EC195" s="17"/>
    </row>
    <row r="196" spans="1:133" x14ac:dyDescent="0.25">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c r="CE196" s="17"/>
      <c r="CF196" s="17"/>
      <c r="CG196" s="17"/>
      <c r="CH196" s="17"/>
      <c r="CI196" s="17"/>
      <c r="CJ196" s="17"/>
      <c r="CK196" s="17"/>
      <c r="CL196" s="17"/>
      <c r="CM196" s="17"/>
      <c r="CN196" s="17"/>
      <c r="CO196" s="17"/>
      <c r="CP196" s="17"/>
      <c r="CQ196" s="17"/>
      <c r="CR196" s="17"/>
      <c r="CS196" s="17"/>
      <c r="CT196" s="17"/>
      <c r="CU196" s="17"/>
      <c r="CV196" s="17"/>
      <c r="CW196" s="17"/>
      <c r="CX196" s="17"/>
      <c r="CY196" s="17"/>
      <c r="CZ196" s="17"/>
      <c r="DA196" s="17"/>
      <c r="DB196" s="17"/>
      <c r="DC196" s="17"/>
      <c r="DD196" s="17"/>
      <c r="DE196" s="17"/>
      <c r="DF196" s="17"/>
      <c r="DG196" s="17"/>
      <c r="DH196" s="17"/>
      <c r="DI196" s="17"/>
      <c r="DJ196" s="17"/>
      <c r="DK196" s="17"/>
      <c r="DL196" s="17"/>
      <c r="DM196" s="17"/>
      <c r="DN196" s="17"/>
      <c r="DO196" s="17"/>
      <c r="DP196" s="17"/>
      <c r="DQ196" s="17"/>
      <c r="DR196" s="17"/>
      <c r="DS196" s="17"/>
      <c r="DT196" s="17"/>
      <c r="DU196" s="17"/>
      <c r="DV196" s="17"/>
      <c r="DW196" s="17"/>
      <c r="DX196" s="17"/>
      <c r="DY196" s="17"/>
      <c r="DZ196" s="17"/>
      <c r="EA196" s="17"/>
      <c r="EB196" s="17"/>
      <c r="EC196" s="17"/>
    </row>
    <row r="197" spans="1:133" x14ac:dyDescent="0.25">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c r="CF197" s="17"/>
      <c r="CG197" s="17"/>
      <c r="CH197" s="17"/>
      <c r="CI197" s="17"/>
      <c r="CJ197" s="17"/>
      <c r="CK197" s="17"/>
      <c r="CL197" s="17"/>
      <c r="CM197" s="17"/>
      <c r="CN197" s="17"/>
      <c r="CO197" s="17"/>
      <c r="CP197" s="17"/>
      <c r="CQ197" s="17"/>
      <c r="CR197" s="17"/>
      <c r="CS197" s="17"/>
      <c r="CT197" s="17"/>
      <c r="CU197" s="17"/>
      <c r="CV197" s="17"/>
      <c r="CW197" s="17"/>
      <c r="CX197" s="17"/>
      <c r="CY197" s="17"/>
      <c r="CZ197" s="17"/>
      <c r="DA197" s="17"/>
      <c r="DB197" s="17"/>
      <c r="DC197" s="17"/>
      <c r="DD197" s="17"/>
      <c r="DE197" s="17"/>
      <c r="DF197" s="17"/>
      <c r="DG197" s="17"/>
      <c r="DH197" s="17"/>
      <c r="DI197" s="17"/>
      <c r="DJ197" s="17"/>
      <c r="DK197" s="17"/>
      <c r="DL197" s="17"/>
      <c r="DM197" s="17"/>
      <c r="DN197" s="17"/>
      <c r="DO197" s="17"/>
      <c r="DP197" s="17"/>
      <c r="DQ197" s="17"/>
      <c r="DR197" s="17"/>
      <c r="DS197" s="17"/>
      <c r="DT197" s="17"/>
      <c r="DU197" s="17"/>
      <c r="DV197" s="17"/>
      <c r="DW197" s="17"/>
      <c r="DX197" s="17"/>
      <c r="DY197" s="17"/>
      <c r="DZ197" s="17"/>
      <c r="EA197" s="17"/>
      <c r="EB197" s="17"/>
      <c r="EC197" s="17"/>
    </row>
    <row r="198" spans="1:133" x14ac:dyDescent="0.25">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c r="CF198" s="17"/>
      <c r="CG198" s="17"/>
      <c r="CH198" s="17"/>
      <c r="CI198" s="17"/>
      <c r="CJ198" s="17"/>
      <c r="CK198" s="17"/>
      <c r="CL198" s="17"/>
      <c r="CM198" s="17"/>
      <c r="CN198" s="17"/>
      <c r="CO198" s="17"/>
      <c r="CP198" s="17"/>
      <c r="CQ198" s="17"/>
      <c r="CR198" s="17"/>
      <c r="CS198" s="17"/>
      <c r="CT198" s="17"/>
      <c r="CU198" s="17"/>
      <c r="CV198" s="17"/>
      <c r="CW198" s="17"/>
      <c r="CX198" s="17"/>
      <c r="CY198" s="17"/>
      <c r="CZ198" s="17"/>
      <c r="DA198" s="17"/>
      <c r="DB198" s="17"/>
      <c r="DC198" s="17"/>
      <c r="DD198" s="17"/>
      <c r="DE198" s="17"/>
      <c r="DF198" s="17"/>
      <c r="DG198" s="17"/>
      <c r="DH198" s="17"/>
      <c r="DI198" s="17"/>
      <c r="DJ198" s="17"/>
      <c r="DK198" s="17"/>
      <c r="DL198" s="17"/>
      <c r="DM198" s="17"/>
      <c r="DN198" s="17"/>
      <c r="DO198" s="17"/>
      <c r="DP198" s="17"/>
      <c r="DQ198" s="17"/>
      <c r="DR198" s="17"/>
      <c r="DS198" s="17"/>
      <c r="DT198" s="17"/>
      <c r="DU198" s="17"/>
      <c r="DV198" s="17"/>
      <c r="DW198" s="17"/>
      <c r="DX198" s="17"/>
      <c r="DY198" s="17"/>
      <c r="DZ198" s="17"/>
      <c r="EA198" s="17"/>
      <c r="EB198" s="17"/>
      <c r="EC198" s="17"/>
    </row>
    <row r="199" spans="1:133" x14ac:dyDescent="0.25">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7"/>
      <c r="CJ199" s="17"/>
      <c r="CK199" s="17"/>
      <c r="CL199" s="17"/>
      <c r="CM199" s="17"/>
      <c r="CN199" s="17"/>
      <c r="CO199" s="17"/>
      <c r="CP199" s="17"/>
      <c r="CQ199" s="17"/>
      <c r="CR199" s="17"/>
      <c r="CS199" s="17"/>
      <c r="CT199" s="17"/>
      <c r="CU199" s="17"/>
      <c r="CV199" s="17"/>
      <c r="CW199" s="17"/>
      <c r="CX199" s="17"/>
      <c r="CY199" s="17"/>
      <c r="CZ199" s="17"/>
      <c r="DA199" s="17"/>
      <c r="DB199" s="17"/>
      <c r="DC199" s="17"/>
      <c r="DD199" s="17"/>
      <c r="DE199" s="17"/>
      <c r="DF199" s="17"/>
      <c r="DG199" s="17"/>
      <c r="DH199" s="17"/>
      <c r="DI199" s="17"/>
      <c r="DJ199" s="17"/>
      <c r="DK199" s="17"/>
      <c r="DL199" s="17"/>
      <c r="DM199" s="17"/>
      <c r="DN199" s="17"/>
      <c r="DO199" s="17"/>
      <c r="DP199" s="17"/>
      <c r="DQ199" s="17"/>
      <c r="DR199" s="17"/>
      <c r="DS199" s="17"/>
      <c r="DT199" s="17"/>
      <c r="DU199" s="17"/>
      <c r="DV199" s="17"/>
      <c r="DW199" s="17"/>
      <c r="DX199" s="17"/>
      <c r="DY199" s="17"/>
      <c r="DZ199" s="17"/>
      <c r="EA199" s="17"/>
      <c r="EB199" s="17"/>
      <c r="EC199" s="17"/>
    </row>
    <row r="200" spans="1:133" x14ac:dyDescent="0.25">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c r="CF200" s="17"/>
      <c r="CG200" s="17"/>
      <c r="CH200" s="17"/>
      <c r="CI200" s="17"/>
      <c r="CJ200" s="17"/>
      <c r="CK200" s="17"/>
      <c r="CL200" s="17"/>
      <c r="CM200" s="17"/>
      <c r="CN200" s="17"/>
      <c r="CO200" s="17"/>
      <c r="CP200" s="17"/>
      <c r="CQ200" s="17"/>
      <c r="CR200" s="17"/>
      <c r="CS200" s="17"/>
      <c r="CT200" s="17"/>
      <c r="CU200" s="17"/>
      <c r="CV200" s="17"/>
      <c r="CW200" s="17"/>
      <c r="CX200" s="17"/>
      <c r="CY200" s="17"/>
      <c r="CZ200" s="17"/>
      <c r="DA200" s="17"/>
      <c r="DB200" s="17"/>
      <c r="DC200" s="17"/>
      <c r="DD200" s="17"/>
      <c r="DE200" s="17"/>
      <c r="DF200" s="17"/>
      <c r="DG200" s="17"/>
      <c r="DH200" s="17"/>
      <c r="DI200" s="17"/>
      <c r="DJ200" s="17"/>
      <c r="DK200" s="17"/>
      <c r="DL200" s="17"/>
      <c r="DM200" s="17"/>
      <c r="DN200" s="17"/>
      <c r="DO200" s="17"/>
      <c r="DP200" s="17"/>
      <c r="DQ200" s="17"/>
      <c r="DR200" s="17"/>
      <c r="DS200" s="17"/>
      <c r="DT200" s="17"/>
      <c r="DU200" s="17"/>
      <c r="DV200" s="17"/>
      <c r="DW200" s="17"/>
      <c r="DX200" s="17"/>
      <c r="DY200" s="17"/>
      <c r="DZ200" s="17"/>
      <c r="EA200" s="17"/>
      <c r="EB200" s="17"/>
      <c r="EC200" s="17"/>
    </row>
    <row r="201" spans="1:133" x14ac:dyDescent="0.25">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c r="CF201" s="17"/>
      <c r="CG201" s="17"/>
      <c r="CH201" s="17"/>
      <c r="CI201" s="17"/>
      <c r="CJ201" s="17"/>
      <c r="CK201" s="17"/>
      <c r="CL201" s="17"/>
      <c r="CM201" s="17"/>
      <c r="CN201" s="17"/>
      <c r="CO201" s="17"/>
      <c r="CP201" s="17"/>
      <c r="CQ201" s="17"/>
      <c r="CR201" s="17"/>
      <c r="CS201" s="17"/>
      <c r="CT201" s="17"/>
      <c r="CU201" s="17"/>
      <c r="CV201" s="17"/>
      <c r="CW201" s="17"/>
      <c r="CX201" s="17"/>
      <c r="CY201" s="17"/>
      <c r="CZ201" s="17"/>
      <c r="DA201" s="17"/>
      <c r="DB201" s="17"/>
      <c r="DC201" s="17"/>
      <c r="DD201" s="17"/>
      <c r="DE201" s="17"/>
      <c r="DF201" s="17"/>
      <c r="DG201" s="17"/>
      <c r="DH201" s="17"/>
      <c r="DI201" s="17"/>
      <c r="DJ201" s="17"/>
      <c r="DK201" s="17"/>
      <c r="DL201" s="17"/>
      <c r="DM201" s="17"/>
      <c r="DN201" s="17"/>
      <c r="DO201" s="17"/>
      <c r="DP201" s="17"/>
      <c r="DQ201" s="17"/>
      <c r="DR201" s="17"/>
      <c r="DS201" s="17"/>
      <c r="DT201" s="17"/>
      <c r="DU201" s="17"/>
      <c r="DV201" s="17"/>
      <c r="DW201" s="17"/>
      <c r="DX201" s="17"/>
      <c r="DY201" s="17"/>
      <c r="DZ201" s="17"/>
      <c r="EA201" s="17"/>
      <c r="EB201" s="17"/>
      <c r="EC201" s="17"/>
    </row>
    <row r="202" spans="1:133" x14ac:dyDescent="0.25">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c r="CF202" s="17"/>
      <c r="CG202" s="17"/>
      <c r="CH202" s="17"/>
      <c r="CI202" s="17"/>
      <c r="CJ202" s="17"/>
      <c r="CK202" s="17"/>
      <c r="CL202" s="17"/>
      <c r="CM202" s="17"/>
      <c r="CN202" s="17"/>
      <c r="CO202" s="17"/>
      <c r="CP202" s="17"/>
      <c r="CQ202" s="17"/>
      <c r="CR202" s="17"/>
      <c r="CS202" s="17"/>
      <c r="CT202" s="17"/>
      <c r="CU202" s="17"/>
      <c r="CV202" s="17"/>
      <c r="CW202" s="17"/>
      <c r="CX202" s="17"/>
      <c r="CY202" s="17"/>
      <c r="CZ202" s="17"/>
      <c r="DA202" s="17"/>
      <c r="DB202" s="17"/>
      <c r="DC202" s="17"/>
      <c r="DD202" s="17"/>
      <c r="DE202" s="17"/>
      <c r="DF202" s="17"/>
      <c r="DG202" s="17"/>
      <c r="DH202" s="17"/>
      <c r="DI202" s="17"/>
      <c r="DJ202" s="17"/>
      <c r="DK202" s="17"/>
      <c r="DL202" s="17"/>
      <c r="DM202" s="17"/>
      <c r="DN202" s="17"/>
      <c r="DO202" s="17"/>
      <c r="DP202" s="17"/>
      <c r="DQ202" s="17"/>
      <c r="DR202" s="17"/>
      <c r="DS202" s="17"/>
      <c r="DT202" s="17"/>
      <c r="DU202" s="17"/>
      <c r="DV202" s="17"/>
      <c r="DW202" s="17"/>
      <c r="DX202" s="17"/>
      <c r="DY202" s="17"/>
      <c r="DZ202" s="17"/>
      <c r="EA202" s="17"/>
      <c r="EB202" s="17"/>
      <c r="EC202" s="17"/>
    </row>
    <row r="203" spans="1:133" x14ac:dyDescent="0.25">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c r="CF203" s="17"/>
      <c r="CG203" s="17"/>
      <c r="CH203" s="17"/>
      <c r="CI203" s="17"/>
      <c r="CJ203" s="17"/>
      <c r="CK203" s="17"/>
      <c r="CL203" s="17"/>
      <c r="CM203" s="17"/>
      <c r="CN203" s="17"/>
      <c r="CO203" s="17"/>
      <c r="CP203" s="17"/>
      <c r="CQ203" s="17"/>
      <c r="CR203" s="17"/>
      <c r="CS203" s="17"/>
      <c r="CT203" s="17"/>
      <c r="CU203" s="17"/>
      <c r="CV203" s="17"/>
      <c r="CW203" s="17"/>
      <c r="CX203" s="17"/>
      <c r="CY203" s="17"/>
      <c r="CZ203" s="17"/>
      <c r="DA203" s="17"/>
      <c r="DB203" s="17"/>
      <c r="DC203" s="17"/>
      <c r="DD203" s="17"/>
      <c r="DE203" s="17"/>
      <c r="DF203" s="17"/>
      <c r="DG203" s="17"/>
      <c r="DH203" s="17"/>
      <c r="DI203" s="17"/>
      <c r="DJ203" s="17"/>
      <c r="DK203" s="17"/>
      <c r="DL203" s="17"/>
      <c r="DM203" s="17"/>
      <c r="DN203" s="17"/>
      <c r="DO203" s="17"/>
      <c r="DP203" s="17"/>
      <c r="DQ203" s="17"/>
      <c r="DR203" s="17"/>
      <c r="DS203" s="17"/>
      <c r="DT203" s="17"/>
      <c r="DU203" s="17"/>
      <c r="DV203" s="17"/>
      <c r="DW203" s="17"/>
      <c r="DX203" s="17"/>
      <c r="DY203" s="17"/>
      <c r="DZ203" s="17"/>
      <c r="EA203" s="17"/>
      <c r="EB203" s="17"/>
      <c r="EC203" s="17"/>
    </row>
    <row r="204" spans="1:133" x14ac:dyDescent="0.25">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c r="CE204" s="17"/>
      <c r="CF204" s="17"/>
      <c r="CG204" s="17"/>
      <c r="CH204" s="17"/>
      <c r="CI204" s="17"/>
      <c r="CJ204" s="17"/>
      <c r="CK204" s="17"/>
      <c r="CL204" s="17"/>
      <c r="CM204" s="17"/>
      <c r="CN204" s="17"/>
      <c r="CO204" s="17"/>
      <c r="CP204" s="17"/>
      <c r="CQ204" s="17"/>
      <c r="CR204" s="17"/>
      <c r="CS204" s="17"/>
      <c r="CT204" s="17"/>
      <c r="CU204" s="17"/>
      <c r="CV204" s="17"/>
      <c r="CW204" s="17"/>
      <c r="CX204" s="17"/>
      <c r="CY204" s="17"/>
      <c r="CZ204" s="17"/>
      <c r="DA204" s="17"/>
      <c r="DB204" s="17"/>
      <c r="DC204" s="17"/>
      <c r="DD204" s="17"/>
      <c r="DE204" s="17"/>
      <c r="DF204" s="17"/>
      <c r="DG204" s="17"/>
      <c r="DH204" s="17"/>
      <c r="DI204" s="17"/>
      <c r="DJ204" s="17"/>
      <c r="DK204" s="17"/>
      <c r="DL204" s="17"/>
      <c r="DM204" s="17"/>
      <c r="DN204" s="17"/>
      <c r="DO204" s="17"/>
      <c r="DP204" s="17"/>
      <c r="DQ204" s="17"/>
      <c r="DR204" s="17"/>
      <c r="DS204" s="17"/>
      <c r="DT204" s="17"/>
      <c r="DU204" s="17"/>
      <c r="DV204" s="17"/>
      <c r="DW204" s="17"/>
      <c r="DX204" s="17"/>
      <c r="DY204" s="17"/>
      <c r="DZ204" s="17"/>
      <c r="EA204" s="17"/>
      <c r="EB204" s="17"/>
      <c r="EC204" s="17"/>
    </row>
    <row r="205" spans="1:133" x14ac:dyDescent="0.2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c r="CE205" s="17"/>
      <c r="CF205" s="17"/>
      <c r="CG205" s="17"/>
      <c r="CH205" s="17"/>
      <c r="CI205" s="17"/>
      <c r="CJ205" s="17"/>
      <c r="CK205" s="17"/>
      <c r="CL205" s="17"/>
      <c r="CM205" s="17"/>
      <c r="CN205" s="17"/>
      <c r="CO205" s="17"/>
      <c r="CP205" s="17"/>
      <c r="CQ205" s="17"/>
      <c r="CR205" s="17"/>
      <c r="CS205" s="17"/>
      <c r="CT205" s="17"/>
      <c r="CU205" s="17"/>
      <c r="CV205" s="17"/>
      <c r="CW205" s="17"/>
      <c r="CX205" s="17"/>
      <c r="CY205" s="17"/>
      <c r="CZ205" s="17"/>
      <c r="DA205" s="17"/>
      <c r="DB205" s="17"/>
      <c r="DC205" s="17"/>
      <c r="DD205" s="17"/>
      <c r="DE205" s="17"/>
      <c r="DF205" s="17"/>
      <c r="DG205" s="17"/>
      <c r="DH205" s="17"/>
      <c r="DI205" s="17"/>
      <c r="DJ205" s="17"/>
      <c r="DK205" s="17"/>
      <c r="DL205" s="17"/>
      <c r="DM205" s="17"/>
      <c r="DN205" s="17"/>
      <c r="DO205" s="17"/>
      <c r="DP205" s="17"/>
      <c r="DQ205" s="17"/>
      <c r="DR205" s="17"/>
      <c r="DS205" s="17"/>
      <c r="DT205" s="17"/>
      <c r="DU205" s="17"/>
      <c r="DV205" s="17"/>
      <c r="DW205" s="17"/>
      <c r="DX205" s="17"/>
      <c r="DY205" s="17"/>
      <c r="DZ205" s="17"/>
      <c r="EA205" s="17"/>
      <c r="EB205" s="17"/>
      <c r="EC205" s="17"/>
    </row>
    <row r="206" spans="1:133" x14ac:dyDescent="0.25">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7"/>
      <c r="CJ206" s="17"/>
      <c r="CK206" s="17"/>
      <c r="CL206" s="17"/>
      <c r="CM206" s="17"/>
      <c r="CN206" s="17"/>
      <c r="CO206" s="17"/>
      <c r="CP206" s="17"/>
      <c r="CQ206" s="17"/>
      <c r="CR206" s="17"/>
      <c r="CS206" s="17"/>
      <c r="CT206" s="17"/>
      <c r="CU206" s="17"/>
      <c r="CV206" s="17"/>
      <c r="CW206" s="17"/>
      <c r="CX206" s="17"/>
      <c r="CY206" s="17"/>
      <c r="CZ206" s="17"/>
      <c r="DA206" s="17"/>
      <c r="DB206" s="17"/>
      <c r="DC206" s="17"/>
      <c r="DD206" s="17"/>
      <c r="DE206" s="17"/>
      <c r="DF206" s="17"/>
      <c r="DG206" s="17"/>
      <c r="DH206" s="17"/>
      <c r="DI206" s="17"/>
      <c r="DJ206" s="17"/>
      <c r="DK206" s="17"/>
      <c r="DL206" s="17"/>
      <c r="DM206" s="17"/>
      <c r="DN206" s="17"/>
      <c r="DO206" s="17"/>
      <c r="DP206" s="17"/>
      <c r="DQ206" s="17"/>
      <c r="DR206" s="17"/>
      <c r="DS206" s="17"/>
      <c r="DT206" s="17"/>
      <c r="DU206" s="17"/>
      <c r="DV206" s="17"/>
      <c r="DW206" s="17"/>
      <c r="DX206" s="17"/>
      <c r="DY206" s="17"/>
      <c r="DZ206" s="17"/>
      <c r="EA206" s="17"/>
      <c r="EB206" s="17"/>
      <c r="EC206" s="17"/>
    </row>
    <row r="207" spans="1:133" x14ac:dyDescent="0.25">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c r="BV207" s="17"/>
      <c r="BW207" s="17"/>
      <c r="BX207" s="17"/>
      <c r="BY207" s="17"/>
      <c r="BZ207" s="17"/>
      <c r="CA207" s="17"/>
      <c r="CB207" s="17"/>
      <c r="CC207" s="17"/>
      <c r="CD207" s="17"/>
      <c r="CE207" s="17"/>
      <c r="CF207" s="17"/>
      <c r="CG207" s="17"/>
      <c r="CH207" s="17"/>
      <c r="CI207" s="17"/>
      <c r="CJ207" s="17"/>
      <c r="CK207" s="17"/>
      <c r="CL207" s="17"/>
      <c r="CM207" s="17"/>
      <c r="CN207" s="17"/>
      <c r="CO207" s="17"/>
      <c r="CP207" s="17"/>
      <c r="CQ207" s="17"/>
      <c r="CR207" s="17"/>
      <c r="CS207" s="17"/>
      <c r="CT207" s="17"/>
      <c r="CU207" s="17"/>
      <c r="CV207" s="17"/>
      <c r="CW207" s="17"/>
      <c r="CX207" s="17"/>
      <c r="CY207" s="17"/>
      <c r="CZ207" s="17"/>
      <c r="DA207" s="17"/>
      <c r="DB207" s="17"/>
      <c r="DC207" s="17"/>
      <c r="DD207" s="17"/>
      <c r="DE207" s="17"/>
      <c r="DF207" s="17"/>
      <c r="DG207" s="17"/>
      <c r="DH207" s="17"/>
      <c r="DI207" s="17"/>
      <c r="DJ207" s="17"/>
      <c r="DK207" s="17"/>
      <c r="DL207" s="17"/>
      <c r="DM207" s="17"/>
      <c r="DN207" s="17"/>
      <c r="DO207" s="17"/>
      <c r="DP207" s="17"/>
      <c r="DQ207" s="17"/>
      <c r="DR207" s="17"/>
      <c r="DS207" s="17"/>
      <c r="DT207" s="17"/>
      <c r="DU207" s="17"/>
      <c r="DV207" s="17"/>
      <c r="DW207" s="17"/>
      <c r="DX207" s="17"/>
      <c r="DY207" s="17"/>
      <c r="DZ207" s="17"/>
      <c r="EA207" s="17"/>
      <c r="EB207" s="17"/>
      <c r="EC207" s="17"/>
    </row>
    <row r="208" spans="1:133" x14ac:dyDescent="0.25">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17"/>
      <c r="CH208" s="17"/>
      <c r="CI208" s="17"/>
      <c r="CJ208" s="17"/>
      <c r="CK208" s="17"/>
      <c r="CL208" s="17"/>
      <c r="CM208" s="17"/>
      <c r="CN208" s="17"/>
      <c r="CO208" s="17"/>
      <c r="CP208" s="17"/>
      <c r="CQ208" s="17"/>
      <c r="CR208" s="17"/>
      <c r="CS208" s="17"/>
      <c r="CT208" s="17"/>
      <c r="CU208" s="17"/>
      <c r="CV208" s="17"/>
      <c r="CW208" s="17"/>
      <c r="CX208" s="17"/>
      <c r="CY208" s="17"/>
      <c r="CZ208" s="17"/>
      <c r="DA208" s="17"/>
      <c r="DB208" s="17"/>
      <c r="DC208" s="17"/>
      <c r="DD208" s="17"/>
      <c r="DE208" s="17"/>
      <c r="DF208" s="17"/>
      <c r="DG208" s="17"/>
      <c r="DH208" s="17"/>
      <c r="DI208" s="17"/>
      <c r="DJ208" s="17"/>
      <c r="DK208" s="17"/>
      <c r="DL208" s="17"/>
      <c r="DM208" s="17"/>
      <c r="DN208" s="17"/>
      <c r="DO208" s="17"/>
      <c r="DP208" s="17"/>
      <c r="DQ208" s="17"/>
      <c r="DR208" s="17"/>
      <c r="DS208" s="17"/>
      <c r="DT208" s="17"/>
      <c r="DU208" s="17"/>
      <c r="DV208" s="17"/>
      <c r="DW208" s="17"/>
      <c r="DX208" s="17"/>
      <c r="DY208" s="17"/>
      <c r="DZ208" s="17"/>
      <c r="EA208" s="17"/>
      <c r="EB208" s="17"/>
      <c r="EC208" s="17"/>
    </row>
    <row r="209" spans="1:133" x14ac:dyDescent="0.25">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7"/>
      <c r="CJ209" s="17"/>
      <c r="CK209" s="17"/>
      <c r="CL209" s="17"/>
      <c r="CM209" s="17"/>
      <c r="CN209" s="17"/>
      <c r="CO209" s="17"/>
      <c r="CP209" s="17"/>
      <c r="CQ209" s="17"/>
      <c r="CR209" s="17"/>
      <c r="CS209" s="17"/>
      <c r="CT209" s="17"/>
      <c r="CU209" s="17"/>
      <c r="CV209" s="17"/>
      <c r="CW209" s="17"/>
      <c r="CX209" s="17"/>
      <c r="CY209" s="17"/>
      <c r="CZ209" s="17"/>
      <c r="DA209" s="17"/>
      <c r="DB209" s="17"/>
      <c r="DC209" s="17"/>
      <c r="DD209" s="17"/>
      <c r="DE209" s="17"/>
      <c r="DF209" s="17"/>
      <c r="DG209" s="17"/>
      <c r="DH209" s="17"/>
      <c r="DI209" s="17"/>
      <c r="DJ209" s="17"/>
      <c r="DK209" s="17"/>
      <c r="DL209" s="17"/>
      <c r="DM209" s="17"/>
      <c r="DN209" s="17"/>
      <c r="DO209" s="17"/>
      <c r="DP209" s="17"/>
      <c r="DQ209" s="17"/>
      <c r="DR209" s="17"/>
      <c r="DS209" s="17"/>
      <c r="DT209" s="17"/>
      <c r="DU209" s="17"/>
      <c r="DV209" s="17"/>
      <c r="DW209" s="17"/>
      <c r="DX209" s="17"/>
      <c r="DY209" s="17"/>
      <c r="DZ209" s="17"/>
      <c r="EA209" s="17"/>
      <c r="EB209" s="17"/>
      <c r="EC209" s="17"/>
    </row>
    <row r="210" spans="1:133" x14ac:dyDescent="0.25">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7"/>
      <c r="CJ210" s="17"/>
      <c r="CK210" s="17"/>
      <c r="CL210" s="17"/>
      <c r="CM210" s="17"/>
      <c r="CN210" s="17"/>
      <c r="CO210" s="17"/>
      <c r="CP210" s="17"/>
      <c r="CQ210" s="17"/>
      <c r="CR210" s="17"/>
      <c r="CS210" s="17"/>
      <c r="CT210" s="17"/>
      <c r="CU210" s="17"/>
      <c r="CV210" s="17"/>
      <c r="CW210" s="17"/>
      <c r="CX210" s="17"/>
      <c r="CY210" s="17"/>
      <c r="CZ210" s="17"/>
      <c r="DA210" s="17"/>
      <c r="DB210" s="17"/>
      <c r="DC210" s="17"/>
      <c r="DD210" s="17"/>
      <c r="DE210" s="17"/>
      <c r="DF210" s="17"/>
      <c r="DG210" s="17"/>
      <c r="DH210" s="17"/>
      <c r="DI210" s="17"/>
      <c r="DJ210" s="17"/>
      <c r="DK210" s="17"/>
      <c r="DL210" s="17"/>
      <c r="DM210" s="17"/>
      <c r="DN210" s="17"/>
      <c r="DO210" s="17"/>
      <c r="DP210" s="17"/>
      <c r="DQ210" s="17"/>
      <c r="DR210" s="17"/>
      <c r="DS210" s="17"/>
      <c r="DT210" s="17"/>
      <c r="DU210" s="17"/>
      <c r="DV210" s="17"/>
      <c r="DW210" s="17"/>
      <c r="DX210" s="17"/>
      <c r="DY210" s="17"/>
      <c r="DZ210" s="17"/>
      <c r="EA210" s="17"/>
      <c r="EB210" s="17"/>
      <c r="EC210" s="17"/>
    </row>
    <row r="211" spans="1:133" x14ac:dyDescent="0.25">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17"/>
      <c r="CH211" s="17"/>
      <c r="CI211" s="17"/>
      <c r="CJ211" s="17"/>
      <c r="CK211" s="17"/>
      <c r="CL211" s="17"/>
      <c r="CM211" s="17"/>
      <c r="CN211" s="17"/>
      <c r="CO211" s="17"/>
      <c r="CP211" s="17"/>
      <c r="CQ211" s="17"/>
      <c r="CR211" s="17"/>
      <c r="CS211" s="17"/>
      <c r="CT211" s="17"/>
      <c r="CU211" s="17"/>
      <c r="CV211" s="17"/>
      <c r="CW211" s="17"/>
      <c r="CX211" s="17"/>
      <c r="CY211" s="17"/>
      <c r="CZ211" s="17"/>
      <c r="DA211" s="17"/>
      <c r="DB211" s="17"/>
      <c r="DC211" s="17"/>
      <c r="DD211" s="17"/>
      <c r="DE211" s="17"/>
      <c r="DF211" s="17"/>
      <c r="DG211" s="17"/>
      <c r="DH211" s="17"/>
      <c r="DI211" s="17"/>
      <c r="DJ211" s="17"/>
      <c r="DK211" s="17"/>
      <c r="DL211" s="17"/>
      <c r="DM211" s="17"/>
      <c r="DN211" s="17"/>
      <c r="DO211" s="17"/>
      <c r="DP211" s="17"/>
      <c r="DQ211" s="17"/>
      <c r="DR211" s="17"/>
      <c r="DS211" s="17"/>
      <c r="DT211" s="17"/>
      <c r="DU211" s="17"/>
      <c r="DV211" s="17"/>
      <c r="DW211" s="17"/>
      <c r="DX211" s="17"/>
      <c r="DY211" s="17"/>
      <c r="DZ211" s="17"/>
      <c r="EA211" s="17"/>
      <c r="EB211" s="17"/>
      <c r="EC211" s="17"/>
    </row>
    <row r="212" spans="1:133" x14ac:dyDescent="0.25">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c r="CO212" s="17"/>
      <c r="CP212" s="17"/>
      <c r="CQ212" s="17"/>
      <c r="CR212" s="17"/>
      <c r="CS212" s="17"/>
      <c r="CT212" s="17"/>
      <c r="CU212" s="17"/>
      <c r="CV212" s="17"/>
      <c r="CW212" s="17"/>
      <c r="CX212" s="17"/>
      <c r="CY212" s="17"/>
      <c r="CZ212" s="17"/>
      <c r="DA212" s="17"/>
      <c r="DB212" s="17"/>
      <c r="DC212" s="17"/>
      <c r="DD212" s="17"/>
      <c r="DE212" s="17"/>
      <c r="DF212" s="17"/>
      <c r="DG212" s="17"/>
      <c r="DH212" s="17"/>
      <c r="DI212" s="17"/>
      <c r="DJ212" s="17"/>
      <c r="DK212" s="17"/>
      <c r="DL212" s="17"/>
      <c r="DM212" s="17"/>
      <c r="DN212" s="17"/>
      <c r="DO212" s="17"/>
      <c r="DP212" s="17"/>
      <c r="DQ212" s="17"/>
      <c r="DR212" s="17"/>
      <c r="DS212" s="17"/>
      <c r="DT212" s="17"/>
      <c r="DU212" s="17"/>
      <c r="DV212" s="17"/>
      <c r="DW212" s="17"/>
      <c r="DX212" s="17"/>
      <c r="DY212" s="17"/>
      <c r="DZ212" s="17"/>
      <c r="EA212" s="17"/>
      <c r="EB212" s="17"/>
      <c r="EC212" s="17"/>
    </row>
    <row r="213" spans="1:133" x14ac:dyDescent="0.25">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17"/>
      <c r="CH213" s="17"/>
      <c r="CI213" s="17"/>
      <c r="CJ213" s="17"/>
      <c r="CK213" s="17"/>
      <c r="CL213" s="17"/>
      <c r="CM213" s="17"/>
      <c r="CN213" s="17"/>
      <c r="CO213" s="17"/>
      <c r="CP213" s="17"/>
      <c r="CQ213" s="17"/>
      <c r="CR213" s="17"/>
      <c r="CS213" s="17"/>
      <c r="CT213" s="17"/>
      <c r="CU213" s="17"/>
      <c r="CV213" s="17"/>
      <c r="CW213" s="17"/>
      <c r="CX213" s="17"/>
      <c r="CY213" s="17"/>
      <c r="CZ213" s="17"/>
      <c r="DA213" s="17"/>
      <c r="DB213" s="17"/>
      <c r="DC213" s="17"/>
      <c r="DD213" s="17"/>
      <c r="DE213" s="17"/>
      <c r="DF213" s="17"/>
      <c r="DG213" s="17"/>
      <c r="DH213" s="17"/>
      <c r="DI213" s="17"/>
      <c r="DJ213" s="17"/>
      <c r="DK213" s="17"/>
      <c r="DL213" s="17"/>
      <c r="DM213" s="17"/>
      <c r="DN213" s="17"/>
      <c r="DO213" s="17"/>
      <c r="DP213" s="17"/>
      <c r="DQ213" s="17"/>
      <c r="DR213" s="17"/>
      <c r="DS213" s="17"/>
      <c r="DT213" s="17"/>
      <c r="DU213" s="17"/>
      <c r="DV213" s="17"/>
      <c r="DW213" s="17"/>
      <c r="DX213" s="17"/>
      <c r="DY213" s="17"/>
      <c r="DZ213" s="17"/>
      <c r="EA213" s="17"/>
      <c r="EB213" s="17"/>
      <c r="EC213" s="17"/>
    </row>
    <row r="214" spans="1:133" x14ac:dyDescent="0.25">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17"/>
      <c r="CH214" s="17"/>
      <c r="CI214" s="17"/>
      <c r="CJ214" s="17"/>
      <c r="CK214" s="17"/>
      <c r="CL214" s="17"/>
      <c r="CM214" s="17"/>
      <c r="CN214" s="17"/>
      <c r="CO214" s="17"/>
      <c r="CP214" s="17"/>
      <c r="CQ214" s="17"/>
      <c r="CR214" s="17"/>
      <c r="CS214" s="17"/>
      <c r="CT214" s="17"/>
      <c r="CU214" s="17"/>
      <c r="CV214" s="17"/>
      <c r="CW214" s="17"/>
      <c r="CX214" s="17"/>
      <c r="CY214" s="17"/>
      <c r="CZ214" s="17"/>
      <c r="DA214" s="17"/>
      <c r="DB214" s="17"/>
      <c r="DC214" s="17"/>
      <c r="DD214" s="17"/>
      <c r="DE214" s="17"/>
      <c r="DF214" s="17"/>
      <c r="DG214" s="17"/>
      <c r="DH214" s="17"/>
      <c r="DI214" s="17"/>
      <c r="DJ214" s="17"/>
      <c r="DK214" s="17"/>
      <c r="DL214" s="17"/>
      <c r="DM214" s="17"/>
      <c r="DN214" s="17"/>
      <c r="DO214" s="17"/>
      <c r="DP214" s="17"/>
      <c r="DQ214" s="17"/>
      <c r="DR214" s="17"/>
      <c r="DS214" s="17"/>
      <c r="DT214" s="17"/>
      <c r="DU214" s="17"/>
      <c r="DV214" s="17"/>
      <c r="DW214" s="17"/>
      <c r="DX214" s="17"/>
      <c r="DY214" s="17"/>
      <c r="DZ214" s="17"/>
      <c r="EA214" s="17"/>
      <c r="EB214" s="17"/>
      <c r="EC214" s="17"/>
    </row>
    <row r="215" spans="1:133" x14ac:dyDescent="0.2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17"/>
      <c r="CH215" s="17"/>
      <c r="CI215" s="17"/>
      <c r="CJ215" s="17"/>
      <c r="CK215" s="17"/>
      <c r="CL215" s="17"/>
      <c r="CM215" s="17"/>
      <c r="CN215" s="17"/>
      <c r="CO215" s="17"/>
      <c r="CP215" s="17"/>
      <c r="CQ215" s="17"/>
      <c r="CR215" s="17"/>
      <c r="CS215" s="17"/>
      <c r="CT215" s="17"/>
      <c r="CU215" s="17"/>
      <c r="CV215" s="17"/>
      <c r="CW215" s="17"/>
      <c r="CX215" s="17"/>
      <c r="CY215" s="17"/>
      <c r="CZ215" s="17"/>
      <c r="DA215" s="17"/>
      <c r="DB215" s="17"/>
      <c r="DC215" s="17"/>
      <c r="DD215" s="17"/>
      <c r="DE215" s="17"/>
      <c r="DF215" s="17"/>
      <c r="DG215" s="17"/>
      <c r="DH215" s="17"/>
      <c r="DI215" s="17"/>
      <c r="DJ215" s="17"/>
      <c r="DK215" s="17"/>
      <c r="DL215" s="17"/>
      <c r="DM215" s="17"/>
      <c r="DN215" s="17"/>
      <c r="DO215" s="17"/>
      <c r="DP215" s="17"/>
      <c r="DQ215" s="17"/>
      <c r="DR215" s="17"/>
      <c r="DS215" s="17"/>
      <c r="DT215" s="17"/>
      <c r="DU215" s="17"/>
      <c r="DV215" s="17"/>
      <c r="DW215" s="17"/>
      <c r="DX215" s="17"/>
      <c r="DY215" s="17"/>
      <c r="DZ215" s="17"/>
      <c r="EA215" s="17"/>
      <c r="EB215" s="17"/>
      <c r="EC215" s="17"/>
    </row>
    <row r="216" spans="1:133" x14ac:dyDescent="0.25">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17"/>
      <c r="CH216" s="17"/>
      <c r="CI216" s="17"/>
      <c r="CJ216" s="17"/>
      <c r="CK216" s="17"/>
      <c r="CL216" s="17"/>
      <c r="CM216" s="17"/>
      <c r="CN216" s="17"/>
      <c r="CO216" s="17"/>
      <c r="CP216" s="17"/>
      <c r="CQ216" s="17"/>
      <c r="CR216" s="17"/>
      <c r="CS216" s="17"/>
      <c r="CT216" s="17"/>
      <c r="CU216" s="17"/>
      <c r="CV216" s="17"/>
      <c r="CW216" s="17"/>
      <c r="CX216" s="17"/>
      <c r="CY216" s="17"/>
      <c r="CZ216" s="17"/>
      <c r="DA216" s="17"/>
      <c r="DB216" s="17"/>
      <c r="DC216" s="17"/>
      <c r="DD216" s="17"/>
      <c r="DE216" s="17"/>
      <c r="DF216" s="17"/>
      <c r="DG216" s="17"/>
      <c r="DH216" s="17"/>
      <c r="DI216" s="17"/>
      <c r="DJ216" s="17"/>
      <c r="DK216" s="17"/>
      <c r="DL216" s="17"/>
      <c r="DM216" s="17"/>
      <c r="DN216" s="17"/>
      <c r="DO216" s="17"/>
      <c r="DP216" s="17"/>
      <c r="DQ216" s="17"/>
      <c r="DR216" s="17"/>
      <c r="DS216" s="17"/>
      <c r="DT216" s="17"/>
      <c r="DU216" s="17"/>
      <c r="DV216" s="17"/>
      <c r="DW216" s="17"/>
      <c r="DX216" s="17"/>
      <c r="DY216" s="17"/>
      <c r="DZ216" s="17"/>
      <c r="EA216" s="17"/>
      <c r="EB216" s="17"/>
      <c r="EC216" s="17"/>
    </row>
    <row r="217" spans="1:133" x14ac:dyDescent="0.25">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17"/>
      <c r="CH217" s="17"/>
      <c r="CI217" s="17"/>
      <c r="CJ217" s="17"/>
      <c r="CK217" s="17"/>
      <c r="CL217" s="17"/>
      <c r="CM217" s="17"/>
      <c r="CN217" s="17"/>
      <c r="CO217" s="17"/>
      <c r="CP217" s="17"/>
      <c r="CQ217" s="17"/>
      <c r="CR217" s="17"/>
      <c r="CS217" s="17"/>
      <c r="CT217" s="17"/>
      <c r="CU217" s="17"/>
      <c r="CV217" s="17"/>
      <c r="CW217" s="17"/>
      <c r="CX217" s="17"/>
      <c r="CY217" s="17"/>
      <c r="CZ217" s="17"/>
      <c r="DA217" s="17"/>
      <c r="DB217" s="17"/>
      <c r="DC217" s="17"/>
      <c r="DD217" s="17"/>
      <c r="DE217" s="17"/>
      <c r="DF217" s="17"/>
      <c r="DG217" s="17"/>
      <c r="DH217" s="17"/>
      <c r="DI217" s="17"/>
      <c r="DJ217" s="17"/>
      <c r="DK217" s="17"/>
      <c r="DL217" s="17"/>
      <c r="DM217" s="17"/>
      <c r="DN217" s="17"/>
      <c r="DO217" s="17"/>
      <c r="DP217" s="17"/>
      <c r="DQ217" s="17"/>
      <c r="DR217" s="17"/>
      <c r="DS217" s="17"/>
      <c r="DT217" s="17"/>
      <c r="DU217" s="17"/>
      <c r="DV217" s="17"/>
      <c r="DW217" s="17"/>
      <c r="DX217" s="17"/>
      <c r="DY217" s="17"/>
      <c r="DZ217" s="17"/>
      <c r="EA217" s="17"/>
      <c r="EB217" s="17"/>
      <c r="EC217" s="17"/>
    </row>
    <row r="218" spans="1:133" x14ac:dyDescent="0.25">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7"/>
      <c r="CJ218" s="17"/>
      <c r="CK218" s="17"/>
      <c r="CL218" s="17"/>
      <c r="CM218" s="17"/>
      <c r="CN218" s="17"/>
      <c r="CO218" s="17"/>
      <c r="CP218" s="17"/>
      <c r="CQ218" s="17"/>
      <c r="CR218" s="17"/>
      <c r="CS218" s="17"/>
      <c r="CT218" s="17"/>
      <c r="CU218" s="17"/>
      <c r="CV218" s="17"/>
      <c r="CW218" s="17"/>
      <c r="CX218" s="17"/>
      <c r="CY218" s="17"/>
      <c r="CZ218" s="17"/>
      <c r="DA218" s="17"/>
      <c r="DB218" s="17"/>
      <c r="DC218" s="17"/>
      <c r="DD218" s="17"/>
      <c r="DE218" s="17"/>
      <c r="DF218" s="17"/>
      <c r="DG218" s="17"/>
      <c r="DH218" s="17"/>
      <c r="DI218" s="17"/>
      <c r="DJ218" s="17"/>
      <c r="DK218" s="17"/>
      <c r="DL218" s="17"/>
      <c r="DM218" s="17"/>
      <c r="DN218" s="17"/>
      <c r="DO218" s="17"/>
      <c r="DP218" s="17"/>
      <c r="DQ218" s="17"/>
      <c r="DR218" s="17"/>
      <c r="DS218" s="17"/>
      <c r="DT218" s="17"/>
      <c r="DU218" s="17"/>
      <c r="DV218" s="17"/>
      <c r="DW218" s="17"/>
      <c r="DX218" s="17"/>
      <c r="DY218" s="17"/>
      <c r="DZ218" s="17"/>
      <c r="EA218" s="17"/>
      <c r="EB218" s="17"/>
      <c r="EC218" s="17"/>
    </row>
    <row r="219" spans="1:133" x14ac:dyDescent="0.25">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c r="CF219" s="17"/>
      <c r="CG219" s="17"/>
      <c r="CH219" s="17"/>
      <c r="CI219" s="17"/>
      <c r="CJ219" s="17"/>
      <c r="CK219" s="17"/>
      <c r="CL219" s="17"/>
      <c r="CM219" s="17"/>
      <c r="CN219" s="17"/>
      <c r="CO219" s="17"/>
      <c r="CP219" s="17"/>
      <c r="CQ219" s="17"/>
      <c r="CR219" s="17"/>
      <c r="CS219" s="17"/>
      <c r="CT219" s="17"/>
      <c r="CU219" s="17"/>
      <c r="CV219" s="17"/>
      <c r="CW219" s="17"/>
      <c r="CX219" s="17"/>
      <c r="CY219" s="17"/>
      <c r="CZ219" s="17"/>
      <c r="DA219" s="17"/>
      <c r="DB219" s="17"/>
      <c r="DC219" s="17"/>
      <c r="DD219" s="17"/>
      <c r="DE219" s="17"/>
      <c r="DF219" s="17"/>
      <c r="DG219" s="17"/>
      <c r="DH219" s="17"/>
      <c r="DI219" s="17"/>
      <c r="DJ219" s="17"/>
      <c r="DK219" s="17"/>
      <c r="DL219" s="17"/>
      <c r="DM219" s="17"/>
      <c r="DN219" s="17"/>
      <c r="DO219" s="17"/>
      <c r="DP219" s="17"/>
      <c r="DQ219" s="17"/>
      <c r="DR219" s="17"/>
      <c r="DS219" s="17"/>
      <c r="DT219" s="17"/>
      <c r="DU219" s="17"/>
      <c r="DV219" s="17"/>
      <c r="DW219" s="17"/>
      <c r="DX219" s="17"/>
      <c r="DY219" s="17"/>
      <c r="DZ219" s="17"/>
      <c r="EA219" s="17"/>
      <c r="EB219" s="17"/>
      <c r="EC219" s="17"/>
    </row>
    <row r="220" spans="1:133" x14ac:dyDescent="0.25">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17"/>
      <c r="CH220" s="17"/>
      <c r="CI220" s="17"/>
      <c r="CJ220" s="17"/>
      <c r="CK220" s="17"/>
      <c r="CL220" s="17"/>
      <c r="CM220" s="17"/>
      <c r="CN220" s="17"/>
      <c r="CO220" s="17"/>
      <c r="CP220" s="17"/>
      <c r="CQ220" s="17"/>
      <c r="CR220" s="17"/>
      <c r="CS220" s="17"/>
      <c r="CT220" s="17"/>
      <c r="CU220" s="17"/>
      <c r="CV220" s="17"/>
      <c r="CW220" s="17"/>
      <c r="CX220" s="17"/>
      <c r="CY220" s="17"/>
      <c r="CZ220" s="17"/>
      <c r="DA220" s="17"/>
      <c r="DB220" s="17"/>
      <c r="DC220" s="17"/>
      <c r="DD220" s="17"/>
      <c r="DE220" s="17"/>
      <c r="DF220" s="17"/>
      <c r="DG220" s="17"/>
      <c r="DH220" s="17"/>
      <c r="DI220" s="17"/>
      <c r="DJ220" s="17"/>
      <c r="DK220" s="17"/>
      <c r="DL220" s="17"/>
      <c r="DM220" s="17"/>
      <c r="DN220" s="17"/>
      <c r="DO220" s="17"/>
      <c r="DP220" s="17"/>
      <c r="DQ220" s="17"/>
      <c r="DR220" s="17"/>
      <c r="DS220" s="17"/>
      <c r="DT220" s="17"/>
      <c r="DU220" s="17"/>
      <c r="DV220" s="17"/>
      <c r="DW220" s="17"/>
      <c r="DX220" s="17"/>
      <c r="DY220" s="17"/>
      <c r="DZ220" s="17"/>
      <c r="EA220" s="17"/>
      <c r="EB220" s="17"/>
      <c r="EC220" s="17"/>
    </row>
    <row r="221" spans="1:133" x14ac:dyDescent="0.25">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7"/>
      <c r="CJ221" s="17"/>
      <c r="CK221" s="17"/>
      <c r="CL221" s="17"/>
      <c r="CM221" s="17"/>
      <c r="CN221" s="17"/>
      <c r="CO221" s="17"/>
      <c r="CP221" s="17"/>
      <c r="CQ221" s="17"/>
      <c r="CR221" s="17"/>
      <c r="CS221" s="17"/>
      <c r="CT221" s="17"/>
      <c r="CU221" s="17"/>
      <c r="CV221" s="17"/>
      <c r="CW221" s="17"/>
      <c r="CX221" s="17"/>
      <c r="CY221" s="17"/>
      <c r="CZ221" s="17"/>
      <c r="DA221" s="17"/>
      <c r="DB221" s="17"/>
      <c r="DC221" s="17"/>
      <c r="DD221" s="17"/>
      <c r="DE221" s="17"/>
      <c r="DF221" s="17"/>
      <c r="DG221" s="17"/>
      <c r="DH221" s="17"/>
      <c r="DI221" s="17"/>
      <c r="DJ221" s="17"/>
      <c r="DK221" s="17"/>
      <c r="DL221" s="17"/>
      <c r="DM221" s="17"/>
      <c r="DN221" s="17"/>
      <c r="DO221" s="17"/>
      <c r="DP221" s="17"/>
      <c r="DQ221" s="17"/>
      <c r="DR221" s="17"/>
      <c r="DS221" s="17"/>
      <c r="DT221" s="17"/>
      <c r="DU221" s="17"/>
      <c r="DV221" s="17"/>
      <c r="DW221" s="17"/>
      <c r="DX221" s="17"/>
      <c r="DY221" s="17"/>
      <c r="DZ221" s="17"/>
      <c r="EA221" s="17"/>
      <c r="EB221" s="17"/>
      <c r="EC221" s="17"/>
    </row>
    <row r="222" spans="1:133" x14ac:dyDescent="0.25">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7"/>
      <c r="CJ222" s="17"/>
      <c r="CK222" s="17"/>
      <c r="CL222" s="17"/>
      <c r="CM222" s="17"/>
      <c r="CN222" s="17"/>
      <c r="CO222" s="17"/>
      <c r="CP222" s="17"/>
      <c r="CQ222" s="17"/>
      <c r="CR222" s="17"/>
      <c r="CS222" s="17"/>
      <c r="CT222" s="17"/>
      <c r="CU222" s="17"/>
      <c r="CV222" s="17"/>
      <c r="CW222" s="17"/>
      <c r="CX222" s="17"/>
      <c r="CY222" s="17"/>
      <c r="CZ222" s="17"/>
      <c r="DA222" s="17"/>
      <c r="DB222" s="17"/>
      <c r="DC222" s="17"/>
      <c r="DD222" s="17"/>
      <c r="DE222" s="17"/>
      <c r="DF222" s="17"/>
      <c r="DG222" s="17"/>
      <c r="DH222" s="17"/>
      <c r="DI222" s="17"/>
      <c r="DJ222" s="17"/>
      <c r="DK222" s="17"/>
      <c r="DL222" s="17"/>
      <c r="DM222" s="17"/>
      <c r="DN222" s="17"/>
      <c r="DO222" s="17"/>
      <c r="DP222" s="17"/>
      <c r="DQ222" s="17"/>
      <c r="DR222" s="17"/>
      <c r="DS222" s="17"/>
      <c r="DT222" s="17"/>
      <c r="DU222" s="17"/>
      <c r="DV222" s="17"/>
      <c r="DW222" s="17"/>
      <c r="DX222" s="17"/>
      <c r="DY222" s="17"/>
      <c r="DZ222" s="17"/>
      <c r="EA222" s="17"/>
      <c r="EB222" s="17"/>
      <c r="EC222" s="17"/>
    </row>
    <row r="223" spans="1:133" x14ac:dyDescent="0.25">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c r="CO223" s="17"/>
      <c r="CP223" s="17"/>
      <c r="CQ223" s="17"/>
      <c r="CR223" s="17"/>
      <c r="CS223" s="17"/>
      <c r="CT223" s="17"/>
      <c r="CU223" s="17"/>
      <c r="CV223" s="17"/>
      <c r="CW223" s="17"/>
      <c r="CX223" s="17"/>
      <c r="CY223" s="17"/>
      <c r="CZ223" s="17"/>
      <c r="DA223" s="17"/>
      <c r="DB223" s="17"/>
      <c r="DC223" s="17"/>
      <c r="DD223" s="17"/>
      <c r="DE223" s="17"/>
      <c r="DF223" s="17"/>
      <c r="DG223" s="17"/>
      <c r="DH223" s="17"/>
      <c r="DI223" s="17"/>
      <c r="DJ223" s="17"/>
      <c r="DK223" s="17"/>
      <c r="DL223" s="17"/>
      <c r="DM223" s="17"/>
      <c r="DN223" s="17"/>
      <c r="DO223" s="17"/>
      <c r="DP223" s="17"/>
      <c r="DQ223" s="17"/>
      <c r="DR223" s="17"/>
      <c r="DS223" s="17"/>
      <c r="DT223" s="17"/>
      <c r="DU223" s="17"/>
      <c r="DV223" s="17"/>
      <c r="DW223" s="17"/>
      <c r="DX223" s="17"/>
      <c r="DY223" s="17"/>
      <c r="DZ223" s="17"/>
      <c r="EA223" s="17"/>
      <c r="EB223" s="17"/>
      <c r="EC223" s="17"/>
    </row>
    <row r="224" spans="1:133" x14ac:dyDescent="0.25">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c r="CF224" s="17"/>
      <c r="CG224" s="17"/>
      <c r="CH224" s="17"/>
      <c r="CI224" s="17"/>
      <c r="CJ224" s="17"/>
      <c r="CK224" s="17"/>
      <c r="CL224" s="17"/>
      <c r="CM224" s="17"/>
      <c r="CN224" s="17"/>
      <c r="CO224" s="17"/>
      <c r="CP224" s="17"/>
      <c r="CQ224" s="17"/>
      <c r="CR224" s="17"/>
      <c r="CS224" s="17"/>
      <c r="CT224" s="17"/>
      <c r="CU224" s="17"/>
      <c r="CV224" s="17"/>
      <c r="CW224" s="17"/>
      <c r="CX224" s="17"/>
      <c r="CY224" s="17"/>
      <c r="CZ224" s="17"/>
      <c r="DA224" s="17"/>
      <c r="DB224" s="17"/>
      <c r="DC224" s="17"/>
      <c r="DD224" s="17"/>
      <c r="DE224" s="17"/>
      <c r="DF224" s="17"/>
      <c r="DG224" s="17"/>
      <c r="DH224" s="17"/>
      <c r="DI224" s="17"/>
      <c r="DJ224" s="17"/>
      <c r="DK224" s="17"/>
      <c r="DL224" s="17"/>
      <c r="DM224" s="17"/>
      <c r="DN224" s="17"/>
      <c r="DO224" s="17"/>
      <c r="DP224" s="17"/>
      <c r="DQ224" s="17"/>
      <c r="DR224" s="17"/>
      <c r="DS224" s="17"/>
      <c r="DT224" s="17"/>
      <c r="DU224" s="17"/>
      <c r="DV224" s="17"/>
      <c r="DW224" s="17"/>
      <c r="DX224" s="17"/>
      <c r="DY224" s="17"/>
      <c r="DZ224" s="17"/>
      <c r="EA224" s="17"/>
      <c r="EB224" s="17"/>
      <c r="EC224" s="17"/>
    </row>
    <row r="225" spans="1:133" x14ac:dyDescent="0.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c r="CJ225" s="17"/>
      <c r="CK225" s="17"/>
      <c r="CL225" s="17"/>
      <c r="CM225" s="17"/>
      <c r="CN225" s="17"/>
      <c r="CO225" s="17"/>
      <c r="CP225" s="17"/>
      <c r="CQ225" s="17"/>
      <c r="CR225" s="17"/>
      <c r="CS225" s="17"/>
      <c r="CT225" s="17"/>
      <c r="CU225" s="17"/>
      <c r="CV225" s="17"/>
      <c r="CW225" s="17"/>
      <c r="CX225" s="17"/>
      <c r="CY225" s="17"/>
      <c r="CZ225" s="17"/>
      <c r="DA225" s="17"/>
      <c r="DB225" s="17"/>
      <c r="DC225" s="17"/>
      <c r="DD225" s="17"/>
      <c r="DE225" s="17"/>
      <c r="DF225" s="17"/>
      <c r="DG225" s="17"/>
      <c r="DH225" s="17"/>
      <c r="DI225" s="17"/>
      <c r="DJ225" s="17"/>
      <c r="DK225" s="17"/>
      <c r="DL225" s="17"/>
      <c r="DM225" s="17"/>
      <c r="DN225" s="17"/>
      <c r="DO225" s="17"/>
      <c r="DP225" s="17"/>
      <c r="DQ225" s="17"/>
      <c r="DR225" s="17"/>
      <c r="DS225" s="17"/>
      <c r="DT225" s="17"/>
      <c r="DU225" s="17"/>
      <c r="DV225" s="17"/>
      <c r="DW225" s="17"/>
      <c r="DX225" s="17"/>
      <c r="DY225" s="17"/>
      <c r="DZ225" s="17"/>
      <c r="EA225" s="17"/>
      <c r="EB225" s="17"/>
      <c r="EC225" s="17"/>
    </row>
    <row r="226" spans="1:133" x14ac:dyDescent="0.25">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c r="CF226" s="17"/>
      <c r="CG226" s="17"/>
      <c r="CH226" s="17"/>
      <c r="CI226" s="17"/>
      <c r="CJ226" s="17"/>
      <c r="CK226" s="17"/>
      <c r="CL226" s="17"/>
      <c r="CM226" s="17"/>
      <c r="CN226" s="17"/>
      <c r="CO226" s="17"/>
      <c r="CP226" s="17"/>
      <c r="CQ226" s="17"/>
      <c r="CR226" s="17"/>
      <c r="CS226" s="17"/>
      <c r="CT226" s="17"/>
      <c r="CU226" s="17"/>
      <c r="CV226" s="17"/>
      <c r="CW226" s="17"/>
      <c r="CX226" s="17"/>
      <c r="CY226" s="17"/>
      <c r="CZ226" s="17"/>
      <c r="DA226" s="17"/>
      <c r="DB226" s="17"/>
      <c r="DC226" s="17"/>
      <c r="DD226" s="17"/>
      <c r="DE226" s="17"/>
      <c r="DF226" s="17"/>
      <c r="DG226" s="17"/>
      <c r="DH226" s="17"/>
      <c r="DI226" s="17"/>
      <c r="DJ226" s="17"/>
      <c r="DK226" s="17"/>
      <c r="DL226" s="17"/>
      <c r="DM226" s="17"/>
      <c r="DN226" s="17"/>
      <c r="DO226" s="17"/>
      <c r="DP226" s="17"/>
      <c r="DQ226" s="17"/>
      <c r="DR226" s="17"/>
      <c r="DS226" s="17"/>
      <c r="DT226" s="17"/>
      <c r="DU226" s="17"/>
      <c r="DV226" s="17"/>
      <c r="DW226" s="17"/>
      <c r="DX226" s="17"/>
      <c r="DY226" s="17"/>
      <c r="DZ226" s="17"/>
      <c r="EA226" s="17"/>
      <c r="EB226" s="17"/>
      <c r="EC226" s="17"/>
    </row>
    <row r="227" spans="1:133" x14ac:dyDescent="0.25">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7"/>
      <c r="CJ227" s="17"/>
      <c r="CK227" s="17"/>
      <c r="CL227" s="17"/>
      <c r="CM227" s="17"/>
      <c r="CN227" s="17"/>
      <c r="CO227" s="17"/>
      <c r="CP227" s="17"/>
      <c r="CQ227" s="17"/>
      <c r="CR227" s="17"/>
      <c r="CS227" s="17"/>
      <c r="CT227" s="17"/>
      <c r="CU227" s="17"/>
      <c r="CV227" s="17"/>
      <c r="CW227" s="17"/>
      <c r="CX227" s="17"/>
      <c r="CY227" s="17"/>
      <c r="CZ227" s="17"/>
      <c r="DA227" s="17"/>
      <c r="DB227" s="17"/>
      <c r="DC227" s="17"/>
      <c r="DD227" s="17"/>
      <c r="DE227" s="17"/>
      <c r="DF227" s="17"/>
      <c r="DG227" s="17"/>
      <c r="DH227" s="17"/>
      <c r="DI227" s="17"/>
      <c r="DJ227" s="17"/>
      <c r="DK227" s="17"/>
      <c r="DL227" s="17"/>
      <c r="DM227" s="17"/>
      <c r="DN227" s="17"/>
      <c r="DO227" s="17"/>
      <c r="DP227" s="17"/>
      <c r="DQ227" s="17"/>
      <c r="DR227" s="17"/>
      <c r="DS227" s="17"/>
      <c r="DT227" s="17"/>
      <c r="DU227" s="17"/>
      <c r="DV227" s="17"/>
      <c r="DW227" s="17"/>
      <c r="DX227" s="17"/>
      <c r="DY227" s="17"/>
      <c r="DZ227" s="17"/>
      <c r="EA227" s="17"/>
      <c r="EB227" s="17"/>
      <c r="EC227" s="17"/>
    </row>
    <row r="228" spans="1:133" x14ac:dyDescent="0.25">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c r="CF228" s="17"/>
      <c r="CG228" s="17"/>
      <c r="CH228" s="17"/>
      <c r="CI228" s="17"/>
      <c r="CJ228" s="17"/>
      <c r="CK228" s="17"/>
      <c r="CL228" s="17"/>
      <c r="CM228" s="17"/>
      <c r="CN228" s="17"/>
      <c r="CO228" s="17"/>
      <c r="CP228" s="17"/>
      <c r="CQ228" s="17"/>
      <c r="CR228" s="17"/>
      <c r="CS228" s="17"/>
      <c r="CT228" s="17"/>
      <c r="CU228" s="17"/>
      <c r="CV228" s="17"/>
      <c r="CW228" s="17"/>
      <c r="CX228" s="17"/>
      <c r="CY228" s="17"/>
      <c r="CZ228" s="17"/>
      <c r="DA228" s="17"/>
      <c r="DB228" s="17"/>
      <c r="DC228" s="17"/>
      <c r="DD228" s="17"/>
      <c r="DE228" s="17"/>
      <c r="DF228" s="17"/>
      <c r="DG228" s="17"/>
      <c r="DH228" s="17"/>
      <c r="DI228" s="17"/>
      <c r="DJ228" s="17"/>
      <c r="DK228" s="17"/>
      <c r="DL228" s="17"/>
      <c r="DM228" s="17"/>
      <c r="DN228" s="17"/>
      <c r="DO228" s="17"/>
      <c r="DP228" s="17"/>
      <c r="DQ228" s="17"/>
      <c r="DR228" s="17"/>
      <c r="DS228" s="17"/>
      <c r="DT228" s="17"/>
      <c r="DU228" s="17"/>
      <c r="DV228" s="17"/>
      <c r="DW228" s="17"/>
      <c r="DX228" s="17"/>
      <c r="DY228" s="17"/>
      <c r="DZ228" s="17"/>
      <c r="EA228" s="17"/>
      <c r="EB228" s="17"/>
      <c r="EC228" s="17"/>
    </row>
    <row r="229" spans="1:133" x14ac:dyDescent="0.25">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c r="CE229" s="17"/>
      <c r="CF229" s="17"/>
      <c r="CG229" s="17"/>
      <c r="CH229" s="17"/>
      <c r="CI229" s="17"/>
      <c r="CJ229" s="17"/>
      <c r="CK229" s="17"/>
      <c r="CL229" s="17"/>
      <c r="CM229" s="17"/>
      <c r="CN229" s="17"/>
      <c r="CO229" s="17"/>
      <c r="CP229" s="17"/>
      <c r="CQ229" s="17"/>
      <c r="CR229" s="17"/>
      <c r="CS229" s="17"/>
      <c r="CT229" s="17"/>
      <c r="CU229" s="17"/>
      <c r="CV229" s="17"/>
      <c r="CW229" s="17"/>
      <c r="CX229" s="17"/>
      <c r="CY229" s="17"/>
      <c r="CZ229" s="17"/>
      <c r="DA229" s="17"/>
      <c r="DB229" s="17"/>
      <c r="DC229" s="17"/>
      <c r="DD229" s="17"/>
      <c r="DE229" s="17"/>
      <c r="DF229" s="17"/>
      <c r="DG229" s="17"/>
      <c r="DH229" s="17"/>
      <c r="DI229" s="17"/>
      <c r="DJ229" s="17"/>
      <c r="DK229" s="17"/>
      <c r="DL229" s="17"/>
      <c r="DM229" s="17"/>
      <c r="DN229" s="17"/>
      <c r="DO229" s="17"/>
      <c r="DP229" s="17"/>
      <c r="DQ229" s="17"/>
      <c r="DR229" s="17"/>
      <c r="DS229" s="17"/>
      <c r="DT229" s="17"/>
      <c r="DU229" s="17"/>
      <c r="DV229" s="17"/>
      <c r="DW229" s="17"/>
      <c r="DX229" s="17"/>
      <c r="DY229" s="17"/>
      <c r="DZ229" s="17"/>
      <c r="EA229" s="17"/>
      <c r="EB229" s="17"/>
      <c r="EC229" s="17"/>
    </row>
    <row r="230" spans="1:133" x14ac:dyDescent="0.25">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c r="CO230" s="17"/>
      <c r="CP230" s="17"/>
      <c r="CQ230" s="17"/>
      <c r="CR230" s="17"/>
      <c r="CS230" s="17"/>
      <c r="CT230" s="17"/>
      <c r="CU230" s="17"/>
      <c r="CV230" s="17"/>
      <c r="CW230" s="17"/>
      <c r="CX230" s="17"/>
      <c r="CY230" s="17"/>
      <c r="CZ230" s="17"/>
      <c r="DA230" s="17"/>
      <c r="DB230" s="17"/>
      <c r="DC230" s="17"/>
      <c r="DD230" s="17"/>
      <c r="DE230" s="17"/>
      <c r="DF230" s="17"/>
      <c r="DG230" s="17"/>
      <c r="DH230" s="17"/>
      <c r="DI230" s="17"/>
      <c r="DJ230" s="17"/>
      <c r="DK230" s="17"/>
      <c r="DL230" s="17"/>
      <c r="DM230" s="17"/>
      <c r="DN230" s="17"/>
      <c r="DO230" s="17"/>
      <c r="DP230" s="17"/>
      <c r="DQ230" s="17"/>
      <c r="DR230" s="17"/>
      <c r="DS230" s="17"/>
      <c r="DT230" s="17"/>
      <c r="DU230" s="17"/>
      <c r="DV230" s="17"/>
      <c r="DW230" s="17"/>
      <c r="DX230" s="17"/>
      <c r="DY230" s="17"/>
      <c r="DZ230" s="17"/>
      <c r="EA230" s="17"/>
      <c r="EB230" s="17"/>
      <c r="EC230" s="17"/>
    </row>
    <row r="231" spans="1:133" x14ac:dyDescent="0.25">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7"/>
      <c r="BU231" s="17"/>
      <c r="BV231" s="17"/>
      <c r="BW231" s="17"/>
      <c r="BX231" s="17"/>
      <c r="BY231" s="17"/>
      <c r="BZ231" s="17"/>
      <c r="CA231" s="17"/>
      <c r="CB231" s="17"/>
      <c r="CC231" s="17"/>
      <c r="CD231" s="17"/>
      <c r="CE231" s="17"/>
      <c r="CF231" s="17"/>
      <c r="CG231" s="17"/>
      <c r="CH231" s="17"/>
      <c r="CI231" s="17"/>
      <c r="CJ231" s="17"/>
      <c r="CK231" s="17"/>
      <c r="CL231" s="17"/>
      <c r="CM231" s="17"/>
      <c r="CN231" s="17"/>
      <c r="CO231" s="17"/>
      <c r="CP231" s="17"/>
      <c r="CQ231" s="17"/>
      <c r="CR231" s="17"/>
      <c r="CS231" s="17"/>
      <c r="CT231" s="17"/>
      <c r="CU231" s="17"/>
      <c r="CV231" s="17"/>
      <c r="CW231" s="17"/>
      <c r="CX231" s="17"/>
      <c r="CY231" s="17"/>
      <c r="CZ231" s="17"/>
      <c r="DA231" s="17"/>
      <c r="DB231" s="17"/>
      <c r="DC231" s="17"/>
      <c r="DD231" s="17"/>
      <c r="DE231" s="17"/>
      <c r="DF231" s="17"/>
      <c r="DG231" s="17"/>
      <c r="DH231" s="17"/>
      <c r="DI231" s="17"/>
      <c r="DJ231" s="17"/>
      <c r="DK231" s="17"/>
      <c r="DL231" s="17"/>
      <c r="DM231" s="17"/>
      <c r="DN231" s="17"/>
      <c r="DO231" s="17"/>
      <c r="DP231" s="17"/>
      <c r="DQ231" s="17"/>
      <c r="DR231" s="17"/>
      <c r="DS231" s="17"/>
      <c r="DT231" s="17"/>
      <c r="DU231" s="17"/>
      <c r="DV231" s="17"/>
      <c r="DW231" s="17"/>
      <c r="DX231" s="17"/>
      <c r="DY231" s="17"/>
      <c r="DZ231" s="17"/>
      <c r="EA231" s="17"/>
      <c r="EB231" s="17"/>
      <c r="EC231" s="17"/>
    </row>
    <row r="232" spans="1:133" x14ac:dyDescent="0.25">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7"/>
      <c r="BU232" s="17"/>
      <c r="BV232" s="17"/>
      <c r="BW232" s="17"/>
      <c r="BX232" s="17"/>
      <c r="BY232" s="17"/>
      <c r="BZ232" s="17"/>
      <c r="CA232" s="17"/>
      <c r="CB232" s="17"/>
      <c r="CC232" s="17"/>
      <c r="CD232" s="17"/>
      <c r="CE232" s="17"/>
      <c r="CF232" s="17"/>
      <c r="CG232" s="17"/>
      <c r="CH232" s="17"/>
      <c r="CI232" s="17"/>
      <c r="CJ232" s="17"/>
      <c r="CK232" s="17"/>
      <c r="CL232" s="17"/>
      <c r="CM232" s="17"/>
      <c r="CN232" s="17"/>
      <c r="CO232" s="17"/>
      <c r="CP232" s="17"/>
      <c r="CQ232" s="17"/>
      <c r="CR232" s="17"/>
      <c r="CS232" s="17"/>
      <c r="CT232" s="17"/>
      <c r="CU232" s="17"/>
      <c r="CV232" s="17"/>
      <c r="CW232" s="17"/>
      <c r="CX232" s="17"/>
      <c r="CY232" s="17"/>
      <c r="CZ232" s="17"/>
      <c r="DA232" s="17"/>
      <c r="DB232" s="17"/>
      <c r="DC232" s="17"/>
      <c r="DD232" s="17"/>
      <c r="DE232" s="17"/>
      <c r="DF232" s="17"/>
      <c r="DG232" s="17"/>
      <c r="DH232" s="17"/>
      <c r="DI232" s="17"/>
      <c r="DJ232" s="17"/>
      <c r="DK232" s="17"/>
      <c r="DL232" s="17"/>
      <c r="DM232" s="17"/>
      <c r="DN232" s="17"/>
      <c r="DO232" s="17"/>
      <c r="DP232" s="17"/>
      <c r="DQ232" s="17"/>
      <c r="DR232" s="17"/>
      <c r="DS232" s="17"/>
      <c r="DT232" s="17"/>
      <c r="DU232" s="17"/>
      <c r="DV232" s="17"/>
      <c r="DW232" s="17"/>
      <c r="DX232" s="17"/>
      <c r="DY232" s="17"/>
      <c r="DZ232" s="17"/>
      <c r="EA232" s="17"/>
      <c r="EB232" s="17"/>
      <c r="EC232" s="17"/>
    </row>
    <row r="233" spans="1:133" x14ac:dyDescent="0.25">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c r="CE233" s="17"/>
      <c r="CF233" s="17"/>
      <c r="CG233" s="17"/>
      <c r="CH233" s="17"/>
      <c r="CI233" s="17"/>
      <c r="CJ233" s="17"/>
      <c r="CK233" s="17"/>
      <c r="CL233" s="17"/>
      <c r="CM233" s="17"/>
      <c r="CN233" s="17"/>
      <c r="CO233" s="17"/>
      <c r="CP233" s="17"/>
      <c r="CQ233" s="17"/>
      <c r="CR233" s="17"/>
      <c r="CS233" s="17"/>
      <c r="CT233" s="17"/>
      <c r="CU233" s="17"/>
      <c r="CV233" s="17"/>
      <c r="CW233" s="17"/>
      <c r="CX233" s="17"/>
      <c r="CY233" s="17"/>
      <c r="CZ233" s="17"/>
      <c r="DA233" s="17"/>
      <c r="DB233" s="17"/>
      <c r="DC233" s="17"/>
      <c r="DD233" s="17"/>
      <c r="DE233" s="17"/>
      <c r="DF233" s="17"/>
      <c r="DG233" s="17"/>
      <c r="DH233" s="17"/>
      <c r="DI233" s="17"/>
      <c r="DJ233" s="17"/>
      <c r="DK233" s="17"/>
      <c r="DL233" s="17"/>
      <c r="DM233" s="17"/>
      <c r="DN233" s="17"/>
      <c r="DO233" s="17"/>
      <c r="DP233" s="17"/>
      <c r="DQ233" s="17"/>
      <c r="DR233" s="17"/>
      <c r="DS233" s="17"/>
      <c r="DT233" s="17"/>
      <c r="DU233" s="17"/>
      <c r="DV233" s="17"/>
      <c r="DW233" s="17"/>
      <c r="DX233" s="17"/>
      <c r="DY233" s="17"/>
      <c r="DZ233" s="17"/>
      <c r="EA233" s="17"/>
      <c r="EB233" s="17"/>
      <c r="EC233" s="17"/>
    </row>
    <row r="234" spans="1:133" x14ac:dyDescent="0.25">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c r="CE234" s="17"/>
      <c r="CF234" s="17"/>
      <c r="CG234" s="17"/>
      <c r="CH234" s="17"/>
      <c r="CI234" s="17"/>
      <c r="CJ234" s="17"/>
      <c r="CK234" s="17"/>
      <c r="CL234" s="17"/>
      <c r="CM234" s="17"/>
      <c r="CN234" s="17"/>
      <c r="CO234" s="17"/>
      <c r="CP234" s="17"/>
      <c r="CQ234" s="17"/>
      <c r="CR234" s="17"/>
      <c r="CS234" s="17"/>
      <c r="CT234" s="17"/>
      <c r="CU234" s="17"/>
      <c r="CV234" s="17"/>
      <c r="CW234" s="17"/>
      <c r="CX234" s="17"/>
      <c r="CY234" s="17"/>
      <c r="CZ234" s="17"/>
      <c r="DA234" s="17"/>
      <c r="DB234" s="17"/>
      <c r="DC234" s="17"/>
      <c r="DD234" s="17"/>
      <c r="DE234" s="17"/>
      <c r="DF234" s="17"/>
      <c r="DG234" s="17"/>
      <c r="DH234" s="17"/>
      <c r="DI234" s="17"/>
      <c r="DJ234" s="17"/>
      <c r="DK234" s="17"/>
      <c r="DL234" s="17"/>
      <c r="DM234" s="17"/>
      <c r="DN234" s="17"/>
      <c r="DO234" s="17"/>
      <c r="DP234" s="17"/>
      <c r="DQ234" s="17"/>
      <c r="DR234" s="17"/>
      <c r="DS234" s="17"/>
      <c r="DT234" s="17"/>
      <c r="DU234" s="17"/>
      <c r="DV234" s="17"/>
      <c r="DW234" s="17"/>
      <c r="DX234" s="17"/>
      <c r="DY234" s="17"/>
      <c r="DZ234" s="17"/>
      <c r="EA234" s="17"/>
      <c r="EB234" s="17"/>
      <c r="EC234" s="17"/>
    </row>
    <row r="235" spans="1:133" x14ac:dyDescent="0.2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17"/>
      <c r="CH235" s="17"/>
      <c r="CI235" s="17"/>
      <c r="CJ235" s="17"/>
      <c r="CK235" s="17"/>
      <c r="CL235" s="17"/>
      <c r="CM235" s="17"/>
      <c r="CN235" s="17"/>
      <c r="CO235" s="17"/>
      <c r="CP235" s="17"/>
      <c r="CQ235" s="17"/>
      <c r="CR235" s="17"/>
      <c r="CS235" s="17"/>
      <c r="CT235" s="17"/>
      <c r="CU235" s="17"/>
      <c r="CV235" s="17"/>
      <c r="CW235" s="17"/>
      <c r="CX235" s="17"/>
      <c r="CY235" s="17"/>
      <c r="CZ235" s="17"/>
      <c r="DA235" s="17"/>
      <c r="DB235" s="17"/>
      <c r="DC235" s="17"/>
      <c r="DD235" s="17"/>
      <c r="DE235" s="17"/>
      <c r="DF235" s="17"/>
      <c r="DG235" s="17"/>
      <c r="DH235" s="17"/>
      <c r="DI235" s="17"/>
      <c r="DJ235" s="17"/>
      <c r="DK235" s="17"/>
      <c r="DL235" s="17"/>
      <c r="DM235" s="17"/>
      <c r="DN235" s="17"/>
      <c r="DO235" s="17"/>
      <c r="DP235" s="17"/>
      <c r="DQ235" s="17"/>
      <c r="DR235" s="17"/>
      <c r="DS235" s="17"/>
      <c r="DT235" s="17"/>
      <c r="DU235" s="17"/>
      <c r="DV235" s="17"/>
      <c r="DW235" s="17"/>
      <c r="DX235" s="17"/>
      <c r="DY235" s="17"/>
      <c r="DZ235" s="17"/>
      <c r="EA235" s="17"/>
      <c r="EB235" s="17"/>
      <c r="EC235" s="17"/>
    </row>
    <row r="236" spans="1:133" x14ac:dyDescent="0.25">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7"/>
      <c r="BU236" s="17"/>
      <c r="BV236" s="17"/>
      <c r="BW236" s="17"/>
      <c r="BX236" s="17"/>
      <c r="BY236" s="17"/>
      <c r="BZ236" s="17"/>
      <c r="CA236" s="17"/>
      <c r="CB236" s="17"/>
      <c r="CC236" s="17"/>
      <c r="CD236" s="17"/>
      <c r="CE236" s="17"/>
      <c r="CF236" s="17"/>
      <c r="CG236" s="17"/>
      <c r="CH236" s="17"/>
      <c r="CI236" s="17"/>
      <c r="CJ236" s="17"/>
      <c r="CK236" s="17"/>
      <c r="CL236" s="17"/>
      <c r="CM236" s="17"/>
      <c r="CN236" s="17"/>
      <c r="CO236" s="17"/>
      <c r="CP236" s="17"/>
      <c r="CQ236" s="17"/>
      <c r="CR236" s="17"/>
      <c r="CS236" s="17"/>
      <c r="CT236" s="17"/>
      <c r="CU236" s="17"/>
      <c r="CV236" s="17"/>
      <c r="CW236" s="17"/>
      <c r="CX236" s="17"/>
      <c r="CY236" s="17"/>
      <c r="CZ236" s="17"/>
      <c r="DA236" s="17"/>
      <c r="DB236" s="17"/>
      <c r="DC236" s="17"/>
      <c r="DD236" s="17"/>
      <c r="DE236" s="17"/>
      <c r="DF236" s="17"/>
      <c r="DG236" s="17"/>
      <c r="DH236" s="17"/>
      <c r="DI236" s="17"/>
      <c r="DJ236" s="17"/>
      <c r="DK236" s="17"/>
      <c r="DL236" s="17"/>
      <c r="DM236" s="17"/>
      <c r="DN236" s="17"/>
      <c r="DO236" s="17"/>
      <c r="DP236" s="17"/>
      <c r="DQ236" s="17"/>
      <c r="DR236" s="17"/>
      <c r="DS236" s="17"/>
      <c r="DT236" s="17"/>
      <c r="DU236" s="17"/>
      <c r="DV236" s="17"/>
      <c r="DW236" s="17"/>
      <c r="DX236" s="17"/>
      <c r="DY236" s="17"/>
      <c r="DZ236" s="17"/>
      <c r="EA236" s="17"/>
      <c r="EB236" s="17"/>
      <c r="EC236" s="17"/>
    </row>
    <row r="237" spans="1:133" x14ac:dyDescent="0.25">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c r="CE237" s="17"/>
      <c r="CF237" s="17"/>
      <c r="CG237" s="17"/>
      <c r="CH237" s="17"/>
      <c r="CI237" s="17"/>
      <c r="CJ237" s="17"/>
      <c r="CK237" s="17"/>
      <c r="CL237" s="17"/>
      <c r="CM237" s="17"/>
      <c r="CN237" s="17"/>
      <c r="CO237" s="17"/>
      <c r="CP237" s="17"/>
      <c r="CQ237" s="17"/>
      <c r="CR237" s="17"/>
      <c r="CS237" s="17"/>
      <c r="CT237" s="17"/>
      <c r="CU237" s="17"/>
      <c r="CV237" s="17"/>
      <c r="CW237" s="17"/>
      <c r="CX237" s="17"/>
      <c r="CY237" s="17"/>
      <c r="CZ237" s="17"/>
      <c r="DA237" s="17"/>
      <c r="DB237" s="17"/>
      <c r="DC237" s="17"/>
      <c r="DD237" s="17"/>
      <c r="DE237" s="17"/>
      <c r="DF237" s="17"/>
      <c r="DG237" s="17"/>
      <c r="DH237" s="17"/>
      <c r="DI237" s="17"/>
      <c r="DJ237" s="17"/>
      <c r="DK237" s="17"/>
      <c r="DL237" s="17"/>
      <c r="DM237" s="17"/>
      <c r="DN237" s="17"/>
      <c r="DO237" s="17"/>
      <c r="DP237" s="17"/>
      <c r="DQ237" s="17"/>
      <c r="DR237" s="17"/>
      <c r="DS237" s="17"/>
      <c r="DT237" s="17"/>
      <c r="DU237" s="17"/>
      <c r="DV237" s="17"/>
      <c r="DW237" s="17"/>
      <c r="DX237" s="17"/>
      <c r="DY237" s="17"/>
      <c r="DZ237" s="17"/>
      <c r="EA237" s="17"/>
      <c r="EB237" s="17"/>
      <c r="EC237" s="17"/>
    </row>
    <row r="238" spans="1:133" x14ac:dyDescent="0.25">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17"/>
      <c r="CH238" s="17"/>
      <c r="CI238" s="17"/>
      <c r="CJ238" s="17"/>
      <c r="CK238" s="17"/>
      <c r="CL238" s="17"/>
      <c r="CM238" s="17"/>
      <c r="CN238" s="17"/>
      <c r="CO238" s="17"/>
      <c r="CP238" s="17"/>
      <c r="CQ238" s="17"/>
      <c r="CR238" s="17"/>
      <c r="CS238" s="17"/>
      <c r="CT238" s="17"/>
      <c r="CU238" s="17"/>
      <c r="CV238" s="17"/>
      <c r="CW238" s="17"/>
      <c r="CX238" s="17"/>
      <c r="CY238" s="17"/>
      <c r="CZ238" s="17"/>
      <c r="DA238" s="17"/>
      <c r="DB238" s="17"/>
      <c r="DC238" s="17"/>
      <c r="DD238" s="17"/>
      <c r="DE238" s="17"/>
      <c r="DF238" s="17"/>
      <c r="DG238" s="17"/>
      <c r="DH238" s="17"/>
      <c r="DI238" s="17"/>
      <c r="DJ238" s="17"/>
      <c r="DK238" s="17"/>
      <c r="DL238" s="17"/>
      <c r="DM238" s="17"/>
      <c r="DN238" s="17"/>
      <c r="DO238" s="17"/>
      <c r="DP238" s="17"/>
      <c r="DQ238" s="17"/>
      <c r="DR238" s="17"/>
      <c r="DS238" s="17"/>
      <c r="DT238" s="17"/>
      <c r="DU238" s="17"/>
      <c r="DV238" s="17"/>
      <c r="DW238" s="17"/>
      <c r="DX238" s="17"/>
      <c r="DY238" s="17"/>
      <c r="DZ238" s="17"/>
      <c r="EA238" s="17"/>
      <c r="EB238" s="17"/>
      <c r="EC238" s="17"/>
    </row>
    <row r="239" spans="1:133" x14ac:dyDescent="0.25">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c r="CE239" s="17"/>
      <c r="CF239" s="17"/>
      <c r="CG239" s="17"/>
      <c r="CH239" s="17"/>
      <c r="CI239" s="17"/>
      <c r="CJ239" s="17"/>
      <c r="CK239" s="17"/>
      <c r="CL239" s="17"/>
      <c r="CM239" s="17"/>
      <c r="CN239" s="17"/>
      <c r="CO239" s="17"/>
      <c r="CP239" s="17"/>
      <c r="CQ239" s="17"/>
      <c r="CR239" s="17"/>
      <c r="CS239" s="17"/>
      <c r="CT239" s="17"/>
      <c r="CU239" s="17"/>
      <c r="CV239" s="17"/>
      <c r="CW239" s="17"/>
      <c r="CX239" s="17"/>
      <c r="CY239" s="17"/>
      <c r="CZ239" s="17"/>
      <c r="DA239" s="17"/>
      <c r="DB239" s="17"/>
      <c r="DC239" s="17"/>
      <c r="DD239" s="17"/>
      <c r="DE239" s="17"/>
      <c r="DF239" s="17"/>
      <c r="DG239" s="17"/>
      <c r="DH239" s="17"/>
      <c r="DI239" s="17"/>
      <c r="DJ239" s="17"/>
      <c r="DK239" s="17"/>
      <c r="DL239" s="17"/>
      <c r="DM239" s="17"/>
      <c r="DN239" s="17"/>
      <c r="DO239" s="17"/>
      <c r="DP239" s="17"/>
      <c r="DQ239" s="17"/>
      <c r="DR239" s="17"/>
      <c r="DS239" s="17"/>
      <c r="DT239" s="17"/>
      <c r="DU239" s="17"/>
      <c r="DV239" s="17"/>
      <c r="DW239" s="17"/>
      <c r="DX239" s="17"/>
      <c r="DY239" s="17"/>
      <c r="DZ239" s="17"/>
      <c r="EA239" s="17"/>
      <c r="EB239" s="17"/>
      <c r="EC239" s="17"/>
    </row>
    <row r="240" spans="1:133" x14ac:dyDescent="0.25">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c r="CE240" s="17"/>
      <c r="CF240" s="17"/>
      <c r="CG240" s="17"/>
      <c r="CH240" s="17"/>
      <c r="CI240" s="17"/>
      <c r="CJ240" s="17"/>
      <c r="CK240" s="17"/>
      <c r="CL240" s="17"/>
      <c r="CM240" s="17"/>
      <c r="CN240" s="17"/>
      <c r="CO240" s="17"/>
      <c r="CP240" s="17"/>
      <c r="CQ240" s="17"/>
      <c r="CR240" s="17"/>
      <c r="CS240" s="17"/>
      <c r="CT240" s="17"/>
      <c r="CU240" s="17"/>
      <c r="CV240" s="17"/>
      <c r="CW240" s="17"/>
      <c r="CX240" s="17"/>
      <c r="CY240" s="17"/>
      <c r="CZ240" s="17"/>
      <c r="DA240" s="17"/>
      <c r="DB240" s="17"/>
      <c r="DC240" s="17"/>
      <c r="DD240" s="17"/>
      <c r="DE240" s="17"/>
      <c r="DF240" s="17"/>
      <c r="DG240" s="17"/>
      <c r="DH240" s="17"/>
      <c r="DI240" s="17"/>
      <c r="DJ240" s="17"/>
      <c r="DK240" s="17"/>
      <c r="DL240" s="17"/>
      <c r="DM240" s="17"/>
      <c r="DN240" s="17"/>
      <c r="DO240" s="17"/>
      <c r="DP240" s="17"/>
      <c r="DQ240" s="17"/>
      <c r="DR240" s="17"/>
      <c r="DS240" s="17"/>
      <c r="DT240" s="17"/>
      <c r="DU240" s="17"/>
      <c r="DV240" s="17"/>
      <c r="DW240" s="17"/>
      <c r="DX240" s="17"/>
      <c r="DY240" s="17"/>
      <c r="DZ240" s="17"/>
      <c r="EA240" s="17"/>
      <c r="EB240" s="17"/>
      <c r="EC240" s="17"/>
    </row>
    <row r="241" spans="1:133" x14ac:dyDescent="0.25">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7"/>
      <c r="BU241" s="17"/>
      <c r="BV241" s="17"/>
      <c r="BW241" s="17"/>
      <c r="BX241" s="17"/>
      <c r="BY241" s="17"/>
      <c r="BZ241" s="17"/>
      <c r="CA241" s="17"/>
      <c r="CB241" s="17"/>
      <c r="CC241" s="17"/>
      <c r="CD241" s="17"/>
      <c r="CE241" s="17"/>
      <c r="CF241" s="17"/>
      <c r="CG241" s="17"/>
      <c r="CH241" s="17"/>
      <c r="CI241" s="17"/>
      <c r="CJ241" s="17"/>
      <c r="CK241" s="17"/>
      <c r="CL241" s="17"/>
      <c r="CM241" s="17"/>
      <c r="CN241" s="17"/>
      <c r="CO241" s="17"/>
      <c r="CP241" s="17"/>
      <c r="CQ241" s="17"/>
      <c r="CR241" s="17"/>
      <c r="CS241" s="17"/>
      <c r="CT241" s="17"/>
      <c r="CU241" s="17"/>
      <c r="CV241" s="17"/>
      <c r="CW241" s="17"/>
      <c r="CX241" s="17"/>
      <c r="CY241" s="17"/>
      <c r="CZ241" s="17"/>
      <c r="DA241" s="17"/>
      <c r="DB241" s="17"/>
      <c r="DC241" s="17"/>
      <c r="DD241" s="17"/>
      <c r="DE241" s="17"/>
      <c r="DF241" s="17"/>
      <c r="DG241" s="17"/>
      <c r="DH241" s="17"/>
      <c r="DI241" s="17"/>
      <c r="DJ241" s="17"/>
      <c r="DK241" s="17"/>
      <c r="DL241" s="17"/>
      <c r="DM241" s="17"/>
      <c r="DN241" s="17"/>
      <c r="DO241" s="17"/>
      <c r="DP241" s="17"/>
      <c r="DQ241" s="17"/>
      <c r="DR241" s="17"/>
      <c r="DS241" s="17"/>
      <c r="DT241" s="17"/>
      <c r="DU241" s="17"/>
      <c r="DV241" s="17"/>
      <c r="DW241" s="17"/>
      <c r="DX241" s="17"/>
      <c r="DY241" s="17"/>
      <c r="DZ241" s="17"/>
      <c r="EA241" s="17"/>
      <c r="EB241" s="17"/>
      <c r="EC241" s="17"/>
    </row>
    <row r="242" spans="1:133" x14ac:dyDescent="0.25">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17"/>
      <c r="CF242" s="17"/>
      <c r="CG242" s="17"/>
      <c r="CH242" s="17"/>
      <c r="CI242" s="17"/>
      <c r="CJ242" s="17"/>
      <c r="CK242" s="17"/>
      <c r="CL242" s="17"/>
      <c r="CM242" s="17"/>
      <c r="CN242" s="17"/>
      <c r="CO242" s="17"/>
      <c r="CP242" s="17"/>
      <c r="CQ242" s="17"/>
      <c r="CR242" s="17"/>
      <c r="CS242" s="17"/>
      <c r="CT242" s="17"/>
      <c r="CU242" s="17"/>
      <c r="CV242" s="17"/>
      <c r="CW242" s="17"/>
      <c r="CX242" s="17"/>
      <c r="CY242" s="17"/>
      <c r="CZ242" s="17"/>
      <c r="DA242" s="17"/>
      <c r="DB242" s="17"/>
      <c r="DC242" s="17"/>
      <c r="DD242" s="17"/>
      <c r="DE242" s="17"/>
      <c r="DF242" s="17"/>
      <c r="DG242" s="17"/>
      <c r="DH242" s="17"/>
      <c r="DI242" s="17"/>
      <c r="DJ242" s="17"/>
      <c r="DK242" s="17"/>
      <c r="DL242" s="17"/>
      <c r="DM242" s="17"/>
      <c r="DN242" s="17"/>
      <c r="DO242" s="17"/>
      <c r="DP242" s="17"/>
      <c r="DQ242" s="17"/>
      <c r="DR242" s="17"/>
      <c r="DS242" s="17"/>
      <c r="DT242" s="17"/>
      <c r="DU242" s="17"/>
      <c r="DV242" s="17"/>
      <c r="DW242" s="17"/>
      <c r="DX242" s="17"/>
      <c r="DY242" s="17"/>
      <c r="DZ242" s="17"/>
      <c r="EA242" s="17"/>
      <c r="EB242" s="17"/>
      <c r="EC242" s="17"/>
    </row>
    <row r="243" spans="1:133" x14ac:dyDescent="0.25">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c r="CE243" s="17"/>
      <c r="CF243" s="17"/>
      <c r="CG243" s="17"/>
      <c r="CH243" s="17"/>
      <c r="CI243" s="17"/>
      <c r="CJ243" s="17"/>
      <c r="CK243" s="17"/>
      <c r="CL243" s="17"/>
      <c r="CM243" s="17"/>
      <c r="CN243" s="17"/>
      <c r="CO243" s="17"/>
      <c r="CP243" s="17"/>
      <c r="CQ243" s="17"/>
      <c r="CR243" s="17"/>
      <c r="CS243" s="17"/>
      <c r="CT243" s="17"/>
      <c r="CU243" s="17"/>
      <c r="CV243" s="17"/>
      <c r="CW243" s="17"/>
      <c r="CX243" s="17"/>
      <c r="CY243" s="17"/>
      <c r="CZ243" s="17"/>
      <c r="DA243" s="17"/>
      <c r="DB243" s="17"/>
      <c r="DC243" s="17"/>
      <c r="DD243" s="17"/>
      <c r="DE243" s="17"/>
      <c r="DF243" s="17"/>
      <c r="DG243" s="17"/>
      <c r="DH243" s="17"/>
      <c r="DI243" s="17"/>
      <c r="DJ243" s="17"/>
      <c r="DK243" s="17"/>
      <c r="DL243" s="17"/>
      <c r="DM243" s="17"/>
      <c r="DN243" s="17"/>
      <c r="DO243" s="17"/>
      <c r="DP243" s="17"/>
      <c r="DQ243" s="17"/>
      <c r="DR243" s="17"/>
      <c r="DS243" s="17"/>
      <c r="DT243" s="17"/>
      <c r="DU243" s="17"/>
      <c r="DV243" s="17"/>
      <c r="DW243" s="17"/>
      <c r="DX243" s="17"/>
      <c r="DY243" s="17"/>
      <c r="DZ243" s="17"/>
      <c r="EA243" s="17"/>
      <c r="EB243" s="17"/>
      <c r="EC243" s="17"/>
    </row>
    <row r="244" spans="1:133" x14ac:dyDescent="0.25">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c r="BV244" s="17"/>
      <c r="BW244" s="17"/>
      <c r="BX244" s="17"/>
      <c r="BY244" s="17"/>
      <c r="BZ244" s="17"/>
      <c r="CA244" s="17"/>
      <c r="CB244" s="17"/>
      <c r="CC244" s="17"/>
      <c r="CD244" s="17"/>
      <c r="CE244" s="17"/>
      <c r="CF244" s="17"/>
      <c r="CG244" s="17"/>
      <c r="CH244" s="17"/>
      <c r="CI244" s="17"/>
      <c r="CJ244" s="17"/>
      <c r="CK244" s="17"/>
      <c r="CL244" s="17"/>
      <c r="CM244" s="17"/>
      <c r="CN244" s="17"/>
      <c r="CO244" s="17"/>
      <c r="CP244" s="17"/>
      <c r="CQ244" s="17"/>
      <c r="CR244" s="17"/>
      <c r="CS244" s="17"/>
      <c r="CT244" s="17"/>
      <c r="CU244" s="17"/>
      <c r="CV244" s="17"/>
      <c r="CW244" s="17"/>
      <c r="CX244" s="17"/>
      <c r="CY244" s="17"/>
      <c r="CZ244" s="17"/>
      <c r="DA244" s="17"/>
      <c r="DB244" s="17"/>
      <c r="DC244" s="17"/>
      <c r="DD244" s="17"/>
      <c r="DE244" s="17"/>
      <c r="DF244" s="17"/>
      <c r="DG244" s="17"/>
      <c r="DH244" s="17"/>
      <c r="DI244" s="17"/>
      <c r="DJ244" s="17"/>
      <c r="DK244" s="17"/>
      <c r="DL244" s="17"/>
      <c r="DM244" s="17"/>
      <c r="DN244" s="17"/>
      <c r="DO244" s="17"/>
      <c r="DP244" s="17"/>
      <c r="DQ244" s="17"/>
      <c r="DR244" s="17"/>
      <c r="DS244" s="17"/>
      <c r="DT244" s="17"/>
      <c r="DU244" s="17"/>
      <c r="DV244" s="17"/>
      <c r="DW244" s="17"/>
      <c r="DX244" s="17"/>
      <c r="DY244" s="17"/>
      <c r="DZ244" s="17"/>
      <c r="EA244" s="17"/>
      <c r="EB244" s="17"/>
      <c r="EC244" s="17"/>
    </row>
    <row r="245" spans="1:133" x14ac:dyDescent="0.2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c r="CE245" s="17"/>
      <c r="CF245" s="17"/>
      <c r="CG245" s="17"/>
      <c r="CH245" s="17"/>
      <c r="CI245" s="17"/>
      <c r="CJ245" s="17"/>
      <c r="CK245" s="17"/>
      <c r="CL245" s="17"/>
      <c r="CM245" s="17"/>
      <c r="CN245" s="17"/>
      <c r="CO245" s="17"/>
      <c r="CP245" s="17"/>
      <c r="CQ245" s="17"/>
      <c r="CR245" s="17"/>
      <c r="CS245" s="17"/>
      <c r="CT245" s="17"/>
      <c r="CU245" s="17"/>
      <c r="CV245" s="17"/>
      <c r="CW245" s="17"/>
      <c r="CX245" s="17"/>
      <c r="CY245" s="17"/>
      <c r="CZ245" s="17"/>
      <c r="DA245" s="17"/>
      <c r="DB245" s="17"/>
      <c r="DC245" s="17"/>
      <c r="DD245" s="17"/>
      <c r="DE245" s="17"/>
      <c r="DF245" s="17"/>
      <c r="DG245" s="17"/>
      <c r="DH245" s="17"/>
      <c r="DI245" s="17"/>
      <c r="DJ245" s="17"/>
      <c r="DK245" s="17"/>
      <c r="DL245" s="17"/>
      <c r="DM245" s="17"/>
      <c r="DN245" s="17"/>
      <c r="DO245" s="17"/>
      <c r="DP245" s="17"/>
      <c r="DQ245" s="17"/>
      <c r="DR245" s="17"/>
      <c r="DS245" s="17"/>
      <c r="DT245" s="17"/>
      <c r="DU245" s="17"/>
      <c r="DV245" s="17"/>
      <c r="DW245" s="17"/>
      <c r="DX245" s="17"/>
      <c r="DY245" s="17"/>
      <c r="DZ245" s="17"/>
      <c r="EA245" s="17"/>
      <c r="EB245" s="17"/>
      <c r="EC245" s="17"/>
    </row>
    <row r="246" spans="1:133" x14ac:dyDescent="0.25">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7"/>
      <c r="BU246" s="17"/>
      <c r="BV246" s="17"/>
      <c r="BW246" s="17"/>
      <c r="BX246" s="17"/>
      <c r="BY246" s="17"/>
      <c r="BZ246" s="17"/>
      <c r="CA246" s="17"/>
      <c r="CB246" s="17"/>
      <c r="CC246" s="17"/>
      <c r="CD246" s="17"/>
      <c r="CE246" s="17"/>
      <c r="CF246" s="17"/>
      <c r="CG246" s="17"/>
      <c r="CH246" s="17"/>
      <c r="CI246" s="17"/>
      <c r="CJ246" s="17"/>
      <c r="CK246" s="17"/>
      <c r="CL246" s="17"/>
      <c r="CM246" s="17"/>
      <c r="CN246" s="17"/>
      <c r="CO246" s="17"/>
      <c r="CP246" s="17"/>
      <c r="CQ246" s="17"/>
      <c r="CR246" s="17"/>
      <c r="CS246" s="17"/>
      <c r="CT246" s="17"/>
      <c r="CU246" s="17"/>
      <c r="CV246" s="17"/>
      <c r="CW246" s="17"/>
      <c r="CX246" s="17"/>
      <c r="CY246" s="17"/>
      <c r="CZ246" s="17"/>
      <c r="DA246" s="17"/>
      <c r="DB246" s="17"/>
      <c r="DC246" s="17"/>
      <c r="DD246" s="17"/>
      <c r="DE246" s="17"/>
      <c r="DF246" s="17"/>
      <c r="DG246" s="17"/>
      <c r="DH246" s="17"/>
      <c r="DI246" s="17"/>
      <c r="DJ246" s="17"/>
      <c r="DK246" s="17"/>
      <c r="DL246" s="17"/>
      <c r="DM246" s="17"/>
      <c r="DN246" s="17"/>
      <c r="DO246" s="17"/>
      <c r="DP246" s="17"/>
      <c r="DQ246" s="17"/>
      <c r="DR246" s="17"/>
      <c r="DS246" s="17"/>
      <c r="DT246" s="17"/>
      <c r="DU246" s="17"/>
      <c r="DV246" s="17"/>
      <c r="DW246" s="17"/>
      <c r="DX246" s="17"/>
      <c r="DY246" s="17"/>
      <c r="DZ246" s="17"/>
      <c r="EA246" s="17"/>
      <c r="EB246" s="17"/>
      <c r="EC246" s="17"/>
    </row>
    <row r="247" spans="1:133" x14ac:dyDescent="0.25">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c r="BU247" s="17"/>
      <c r="BV247" s="17"/>
      <c r="BW247" s="17"/>
      <c r="BX247" s="17"/>
      <c r="BY247" s="17"/>
      <c r="BZ247" s="17"/>
      <c r="CA247" s="17"/>
      <c r="CB247" s="17"/>
      <c r="CC247" s="17"/>
      <c r="CD247" s="17"/>
      <c r="CE247" s="17"/>
      <c r="CF247" s="17"/>
      <c r="CG247" s="17"/>
      <c r="CH247" s="17"/>
      <c r="CI247" s="17"/>
      <c r="CJ247" s="17"/>
      <c r="CK247" s="17"/>
      <c r="CL247" s="17"/>
      <c r="CM247" s="17"/>
      <c r="CN247" s="17"/>
      <c r="CO247" s="17"/>
      <c r="CP247" s="17"/>
      <c r="CQ247" s="17"/>
      <c r="CR247" s="17"/>
      <c r="CS247" s="17"/>
      <c r="CT247" s="17"/>
      <c r="CU247" s="17"/>
      <c r="CV247" s="17"/>
      <c r="CW247" s="17"/>
      <c r="CX247" s="17"/>
      <c r="CY247" s="17"/>
      <c r="CZ247" s="17"/>
      <c r="DA247" s="17"/>
      <c r="DB247" s="17"/>
      <c r="DC247" s="17"/>
      <c r="DD247" s="17"/>
      <c r="DE247" s="17"/>
      <c r="DF247" s="17"/>
      <c r="DG247" s="17"/>
      <c r="DH247" s="17"/>
      <c r="DI247" s="17"/>
      <c r="DJ247" s="17"/>
      <c r="DK247" s="17"/>
      <c r="DL247" s="17"/>
      <c r="DM247" s="17"/>
      <c r="DN247" s="17"/>
      <c r="DO247" s="17"/>
      <c r="DP247" s="17"/>
      <c r="DQ247" s="17"/>
      <c r="DR247" s="17"/>
      <c r="DS247" s="17"/>
      <c r="DT247" s="17"/>
      <c r="DU247" s="17"/>
      <c r="DV247" s="17"/>
      <c r="DW247" s="17"/>
      <c r="DX247" s="17"/>
      <c r="DY247" s="17"/>
      <c r="DZ247" s="17"/>
      <c r="EA247" s="17"/>
      <c r="EB247" s="17"/>
      <c r="EC247" s="17"/>
    </row>
    <row r="248" spans="1:133" x14ac:dyDescent="0.25">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c r="BU248" s="17"/>
      <c r="BV248" s="17"/>
      <c r="BW248" s="17"/>
      <c r="BX248" s="17"/>
      <c r="BY248" s="17"/>
      <c r="BZ248" s="17"/>
      <c r="CA248" s="17"/>
      <c r="CB248" s="17"/>
      <c r="CC248" s="17"/>
      <c r="CD248" s="17"/>
      <c r="CE248" s="17"/>
      <c r="CF248" s="17"/>
      <c r="CG248" s="17"/>
      <c r="CH248" s="17"/>
      <c r="CI248" s="17"/>
      <c r="CJ248" s="17"/>
      <c r="CK248" s="17"/>
      <c r="CL248" s="17"/>
      <c r="CM248" s="17"/>
      <c r="CN248" s="17"/>
      <c r="CO248" s="17"/>
      <c r="CP248" s="17"/>
      <c r="CQ248" s="17"/>
      <c r="CR248" s="17"/>
      <c r="CS248" s="17"/>
      <c r="CT248" s="17"/>
      <c r="CU248" s="17"/>
      <c r="CV248" s="17"/>
      <c r="CW248" s="17"/>
      <c r="CX248" s="17"/>
      <c r="CY248" s="17"/>
      <c r="CZ248" s="17"/>
      <c r="DA248" s="17"/>
      <c r="DB248" s="17"/>
      <c r="DC248" s="17"/>
      <c r="DD248" s="17"/>
      <c r="DE248" s="17"/>
      <c r="DF248" s="17"/>
      <c r="DG248" s="17"/>
      <c r="DH248" s="17"/>
      <c r="DI248" s="17"/>
      <c r="DJ248" s="17"/>
      <c r="DK248" s="17"/>
      <c r="DL248" s="17"/>
      <c r="DM248" s="17"/>
      <c r="DN248" s="17"/>
      <c r="DO248" s="17"/>
      <c r="DP248" s="17"/>
      <c r="DQ248" s="17"/>
      <c r="DR248" s="17"/>
      <c r="DS248" s="17"/>
      <c r="DT248" s="17"/>
      <c r="DU248" s="17"/>
      <c r="DV248" s="17"/>
      <c r="DW248" s="17"/>
      <c r="DX248" s="17"/>
      <c r="DY248" s="17"/>
      <c r="DZ248" s="17"/>
      <c r="EA248" s="17"/>
      <c r="EB248" s="17"/>
      <c r="EC248" s="17"/>
    </row>
    <row r="249" spans="1:133" x14ac:dyDescent="0.25">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c r="BU249" s="17"/>
      <c r="BV249" s="17"/>
      <c r="BW249" s="17"/>
      <c r="BX249" s="17"/>
      <c r="BY249" s="17"/>
      <c r="BZ249" s="17"/>
      <c r="CA249" s="17"/>
      <c r="CB249" s="17"/>
      <c r="CC249" s="17"/>
      <c r="CD249" s="17"/>
      <c r="CE249" s="17"/>
      <c r="CF249" s="17"/>
      <c r="CG249" s="17"/>
      <c r="CH249" s="17"/>
      <c r="CI249" s="17"/>
      <c r="CJ249" s="17"/>
      <c r="CK249" s="17"/>
      <c r="CL249" s="17"/>
      <c r="CM249" s="17"/>
      <c r="CN249" s="17"/>
      <c r="CO249" s="17"/>
      <c r="CP249" s="17"/>
      <c r="CQ249" s="17"/>
      <c r="CR249" s="17"/>
      <c r="CS249" s="17"/>
      <c r="CT249" s="17"/>
      <c r="CU249" s="17"/>
      <c r="CV249" s="17"/>
      <c r="CW249" s="17"/>
      <c r="CX249" s="17"/>
      <c r="CY249" s="17"/>
      <c r="CZ249" s="17"/>
      <c r="DA249" s="17"/>
      <c r="DB249" s="17"/>
      <c r="DC249" s="17"/>
      <c r="DD249" s="17"/>
      <c r="DE249" s="17"/>
      <c r="DF249" s="17"/>
      <c r="DG249" s="17"/>
      <c r="DH249" s="17"/>
      <c r="DI249" s="17"/>
      <c r="DJ249" s="17"/>
      <c r="DK249" s="17"/>
      <c r="DL249" s="17"/>
      <c r="DM249" s="17"/>
      <c r="DN249" s="17"/>
      <c r="DO249" s="17"/>
      <c r="DP249" s="17"/>
      <c r="DQ249" s="17"/>
      <c r="DR249" s="17"/>
      <c r="DS249" s="17"/>
      <c r="DT249" s="17"/>
      <c r="DU249" s="17"/>
      <c r="DV249" s="17"/>
      <c r="DW249" s="17"/>
      <c r="DX249" s="17"/>
      <c r="DY249" s="17"/>
      <c r="DZ249" s="17"/>
      <c r="EA249" s="17"/>
      <c r="EB249" s="17"/>
      <c r="EC249" s="17"/>
    </row>
    <row r="250" spans="1:133" x14ac:dyDescent="0.25">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c r="BU250" s="17"/>
      <c r="BV250" s="17"/>
      <c r="BW250" s="17"/>
      <c r="BX250" s="17"/>
      <c r="BY250" s="17"/>
      <c r="BZ250" s="17"/>
      <c r="CA250" s="17"/>
      <c r="CB250" s="17"/>
      <c r="CC250" s="17"/>
      <c r="CD250" s="17"/>
      <c r="CE250" s="17"/>
      <c r="CF250" s="17"/>
      <c r="CG250" s="17"/>
      <c r="CH250" s="17"/>
      <c r="CI250" s="17"/>
      <c r="CJ250" s="17"/>
      <c r="CK250" s="17"/>
      <c r="CL250" s="17"/>
      <c r="CM250" s="17"/>
      <c r="CN250" s="17"/>
      <c r="CO250" s="17"/>
      <c r="CP250" s="17"/>
      <c r="CQ250" s="17"/>
      <c r="CR250" s="17"/>
      <c r="CS250" s="17"/>
      <c r="CT250" s="17"/>
      <c r="CU250" s="17"/>
      <c r="CV250" s="17"/>
      <c r="CW250" s="17"/>
      <c r="CX250" s="17"/>
      <c r="CY250" s="17"/>
      <c r="CZ250" s="17"/>
      <c r="DA250" s="17"/>
      <c r="DB250" s="17"/>
      <c r="DC250" s="17"/>
      <c r="DD250" s="17"/>
      <c r="DE250" s="17"/>
      <c r="DF250" s="17"/>
      <c r="DG250" s="17"/>
      <c r="DH250" s="17"/>
      <c r="DI250" s="17"/>
      <c r="DJ250" s="17"/>
      <c r="DK250" s="17"/>
      <c r="DL250" s="17"/>
      <c r="DM250" s="17"/>
      <c r="DN250" s="17"/>
      <c r="DO250" s="17"/>
      <c r="DP250" s="17"/>
      <c r="DQ250" s="17"/>
      <c r="DR250" s="17"/>
      <c r="DS250" s="17"/>
      <c r="DT250" s="17"/>
      <c r="DU250" s="17"/>
      <c r="DV250" s="17"/>
      <c r="DW250" s="17"/>
      <c r="DX250" s="17"/>
      <c r="DY250" s="17"/>
      <c r="DZ250" s="17"/>
      <c r="EA250" s="17"/>
      <c r="EB250" s="17"/>
      <c r="EC250" s="17"/>
    </row>
    <row r="251" spans="1:133" x14ac:dyDescent="0.25">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c r="BU251" s="17"/>
      <c r="BV251" s="17"/>
      <c r="BW251" s="17"/>
      <c r="BX251" s="17"/>
      <c r="BY251" s="17"/>
      <c r="BZ251" s="17"/>
      <c r="CA251" s="17"/>
      <c r="CB251" s="17"/>
      <c r="CC251" s="17"/>
      <c r="CD251" s="17"/>
      <c r="CE251" s="17"/>
      <c r="CF251" s="17"/>
      <c r="CG251" s="17"/>
      <c r="CH251" s="17"/>
      <c r="CI251" s="17"/>
      <c r="CJ251" s="17"/>
      <c r="CK251" s="17"/>
      <c r="CL251" s="17"/>
      <c r="CM251" s="17"/>
      <c r="CN251" s="17"/>
      <c r="CO251" s="17"/>
      <c r="CP251" s="17"/>
      <c r="CQ251" s="17"/>
      <c r="CR251" s="17"/>
      <c r="CS251" s="17"/>
      <c r="CT251" s="17"/>
      <c r="CU251" s="17"/>
      <c r="CV251" s="17"/>
      <c r="CW251" s="17"/>
      <c r="CX251" s="17"/>
      <c r="CY251" s="17"/>
      <c r="CZ251" s="17"/>
      <c r="DA251" s="17"/>
      <c r="DB251" s="17"/>
      <c r="DC251" s="17"/>
      <c r="DD251" s="17"/>
      <c r="DE251" s="17"/>
      <c r="DF251" s="17"/>
      <c r="DG251" s="17"/>
      <c r="DH251" s="17"/>
      <c r="DI251" s="17"/>
      <c r="DJ251" s="17"/>
      <c r="DK251" s="17"/>
      <c r="DL251" s="17"/>
      <c r="DM251" s="17"/>
      <c r="DN251" s="17"/>
      <c r="DO251" s="17"/>
      <c r="DP251" s="17"/>
      <c r="DQ251" s="17"/>
      <c r="DR251" s="17"/>
      <c r="DS251" s="17"/>
      <c r="DT251" s="17"/>
      <c r="DU251" s="17"/>
      <c r="DV251" s="17"/>
      <c r="DW251" s="17"/>
      <c r="DX251" s="17"/>
      <c r="DY251" s="17"/>
      <c r="DZ251" s="17"/>
      <c r="EA251" s="17"/>
      <c r="EB251" s="17"/>
      <c r="EC251" s="17"/>
    </row>
    <row r="252" spans="1:133" x14ac:dyDescent="0.25">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c r="CE252" s="17"/>
      <c r="CF252" s="17"/>
      <c r="CG252" s="17"/>
      <c r="CH252" s="17"/>
      <c r="CI252" s="17"/>
      <c r="CJ252" s="17"/>
      <c r="CK252" s="17"/>
      <c r="CL252" s="17"/>
      <c r="CM252" s="17"/>
      <c r="CN252" s="17"/>
      <c r="CO252" s="17"/>
      <c r="CP252" s="17"/>
      <c r="CQ252" s="17"/>
      <c r="CR252" s="17"/>
      <c r="CS252" s="17"/>
      <c r="CT252" s="17"/>
      <c r="CU252" s="17"/>
      <c r="CV252" s="17"/>
      <c r="CW252" s="17"/>
      <c r="CX252" s="17"/>
      <c r="CY252" s="17"/>
      <c r="CZ252" s="17"/>
      <c r="DA252" s="17"/>
      <c r="DB252" s="17"/>
      <c r="DC252" s="17"/>
      <c r="DD252" s="17"/>
      <c r="DE252" s="17"/>
      <c r="DF252" s="17"/>
      <c r="DG252" s="17"/>
      <c r="DH252" s="17"/>
      <c r="DI252" s="17"/>
      <c r="DJ252" s="17"/>
      <c r="DK252" s="17"/>
      <c r="DL252" s="17"/>
      <c r="DM252" s="17"/>
      <c r="DN252" s="17"/>
      <c r="DO252" s="17"/>
      <c r="DP252" s="17"/>
      <c r="DQ252" s="17"/>
      <c r="DR252" s="17"/>
      <c r="DS252" s="17"/>
      <c r="DT252" s="17"/>
      <c r="DU252" s="17"/>
      <c r="DV252" s="17"/>
      <c r="DW252" s="17"/>
      <c r="DX252" s="17"/>
      <c r="DY252" s="17"/>
      <c r="DZ252" s="17"/>
      <c r="EA252" s="17"/>
      <c r="EB252" s="17"/>
      <c r="EC252" s="17"/>
    </row>
    <row r="253" spans="1:133" x14ac:dyDescent="0.25">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7"/>
      <c r="BU253" s="17"/>
      <c r="BV253" s="17"/>
      <c r="BW253" s="17"/>
      <c r="BX253" s="17"/>
      <c r="BY253" s="17"/>
      <c r="BZ253" s="17"/>
      <c r="CA253" s="17"/>
      <c r="CB253" s="17"/>
      <c r="CC253" s="17"/>
      <c r="CD253" s="17"/>
      <c r="CE253" s="17"/>
      <c r="CF253" s="17"/>
      <c r="CG253" s="17"/>
      <c r="CH253" s="17"/>
      <c r="CI253" s="17"/>
      <c r="CJ253" s="17"/>
      <c r="CK253" s="17"/>
      <c r="CL253" s="17"/>
      <c r="CM253" s="17"/>
      <c r="CN253" s="17"/>
      <c r="CO253" s="17"/>
      <c r="CP253" s="17"/>
      <c r="CQ253" s="17"/>
      <c r="CR253" s="17"/>
      <c r="CS253" s="17"/>
      <c r="CT253" s="17"/>
      <c r="CU253" s="17"/>
      <c r="CV253" s="17"/>
      <c r="CW253" s="17"/>
      <c r="CX253" s="17"/>
      <c r="CY253" s="17"/>
      <c r="CZ253" s="17"/>
      <c r="DA253" s="17"/>
      <c r="DB253" s="17"/>
      <c r="DC253" s="17"/>
      <c r="DD253" s="17"/>
      <c r="DE253" s="17"/>
      <c r="DF253" s="17"/>
      <c r="DG253" s="17"/>
      <c r="DH253" s="17"/>
      <c r="DI253" s="17"/>
      <c r="DJ253" s="17"/>
      <c r="DK253" s="17"/>
      <c r="DL253" s="17"/>
      <c r="DM253" s="17"/>
      <c r="DN253" s="17"/>
      <c r="DO253" s="17"/>
      <c r="DP253" s="17"/>
      <c r="DQ253" s="17"/>
      <c r="DR253" s="17"/>
      <c r="DS253" s="17"/>
      <c r="DT253" s="17"/>
      <c r="DU253" s="17"/>
      <c r="DV253" s="17"/>
      <c r="DW253" s="17"/>
      <c r="DX253" s="17"/>
      <c r="DY253" s="17"/>
      <c r="DZ253" s="17"/>
      <c r="EA253" s="17"/>
      <c r="EB253" s="17"/>
      <c r="EC253" s="17"/>
    </row>
    <row r="254" spans="1:133" x14ac:dyDescent="0.25">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17"/>
      <c r="CH254" s="17"/>
      <c r="CI254" s="17"/>
      <c r="CJ254" s="17"/>
      <c r="CK254" s="17"/>
      <c r="CL254" s="17"/>
      <c r="CM254" s="17"/>
      <c r="CN254" s="17"/>
      <c r="CO254" s="17"/>
      <c r="CP254" s="17"/>
      <c r="CQ254" s="17"/>
      <c r="CR254" s="17"/>
      <c r="CS254" s="17"/>
      <c r="CT254" s="17"/>
      <c r="CU254" s="17"/>
      <c r="CV254" s="17"/>
      <c r="CW254" s="17"/>
      <c r="CX254" s="17"/>
      <c r="CY254" s="17"/>
      <c r="CZ254" s="17"/>
      <c r="DA254" s="17"/>
      <c r="DB254" s="17"/>
      <c r="DC254" s="17"/>
      <c r="DD254" s="17"/>
      <c r="DE254" s="17"/>
      <c r="DF254" s="17"/>
      <c r="DG254" s="17"/>
      <c r="DH254" s="17"/>
      <c r="DI254" s="17"/>
      <c r="DJ254" s="17"/>
      <c r="DK254" s="17"/>
      <c r="DL254" s="17"/>
      <c r="DM254" s="17"/>
      <c r="DN254" s="17"/>
      <c r="DO254" s="17"/>
      <c r="DP254" s="17"/>
      <c r="DQ254" s="17"/>
      <c r="DR254" s="17"/>
      <c r="DS254" s="17"/>
      <c r="DT254" s="17"/>
      <c r="DU254" s="17"/>
      <c r="DV254" s="17"/>
      <c r="DW254" s="17"/>
      <c r="DX254" s="17"/>
      <c r="DY254" s="17"/>
      <c r="DZ254" s="17"/>
      <c r="EA254" s="17"/>
      <c r="EB254" s="17"/>
      <c r="EC254" s="17"/>
    </row>
    <row r="255" spans="1:133" x14ac:dyDescent="0.2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c r="CF255" s="17"/>
      <c r="CG255" s="17"/>
      <c r="CH255" s="17"/>
      <c r="CI255" s="17"/>
      <c r="CJ255" s="17"/>
      <c r="CK255" s="17"/>
      <c r="CL255" s="17"/>
      <c r="CM255" s="17"/>
      <c r="CN255" s="17"/>
      <c r="CO255" s="17"/>
      <c r="CP255" s="17"/>
      <c r="CQ255" s="17"/>
      <c r="CR255" s="17"/>
      <c r="CS255" s="17"/>
      <c r="CT255" s="17"/>
      <c r="CU255" s="17"/>
      <c r="CV255" s="17"/>
      <c r="CW255" s="17"/>
      <c r="CX255" s="17"/>
      <c r="CY255" s="17"/>
      <c r="CZ255" s="17"/>
      <c r="DA255" s="17"/>
      <c r="DB255" s="17"/>
      <c r="DC255" s="17"/>
      <c r="DD255" s="17"/>
      <c r="DE255" s="17"/>
      <c r="DF255" s="17"/>
      <c r="DG255" s="17"/>
      <c r="DH255" s="17"/>
      <c r="DI255" s="17"/>
      <c r="DJ255" s="17"/>
      <c r="DK255" s="17"/>
      <c r="DL255" s="17"/>
      <c r="DM255" s="17"/>
      <c r="DN255" s="17"/>
      <c r="DO255" s="17"/>
      <c r="DP255" s="17"/>
      <c r="DQ255" s="17"/>
      <c r="DR255" s="17"/>
      <c r="DS255" s="17"/>
      <c r="DT255" s="17"/>
      <c r="DU255" s="17"/>
      <c r="DV255" s="17"/>
      <c r="DW255" s="17"/>
      <c r="DX255" s="17"/>
      <c r="DY255" s="17"/>
      <c r="DZ255" s="17"/>
      <c r="EA255" s="17"/>
      <c r="EB255" s="17"/>
      <c r="EC255" s="17"/>
    </row>
    <row r="256" spans="1:133" x14ac:dyDescent="0.25">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7"/>
      <c r="BU256" s="17"/>
      <c r="BV256" s="17"/>
      <c r="BW256" s="17"/>
      <c r="BX256" s="17"/>
      <c r="BY256" s="17"/>
      <c r="BZ256" s="17"/>
      <c r="CA256" s="17"/>
      <c r="CB256" s="17"/>
      <c r="CC256" s="17"/>
      <c r="CD256" s="17"/>
      <c r="CE256" s="17"/>
      <c r="CF256" s="17"/>
      <c r="CG256" s="17"/>
      <c r="CH256" s="17"/>
      <c r="CI256" s="17"/>
      <c r="CJ256" s="17"/>
      <c r="CK256" s="17"/>
      <c r="CL256" s="17"/>
      <c r="CM256" s="17"/>
      <c r="CN256" s="17"/>
      <c r="CO256" s="17"/>
      <c r="CP256" s="17"/>
      <c r="CQ256" s="17"/>
      <c r="CR256" s="17"/>
      <c r="CS256" s="17"/>
      <c r="CT256" s="17"/>
      <c r="CU256" s="17"/>
      <c r="CV256" s="17"/>
      <c r="CW256" s="17"/>
      <c r="CX256" s="17"/>
      <c r="CY256" s="17"/>
      <c r="CZ256" s="17"/>
      <c r="DA256" s="17"/>
      <c r="DB256" s="17"/>
      <c r="DC256" s="17"/>
      <c r="DD256" s="17"/>
      <c r="DE256" s="17"/>
      <c r="DF256" s="17"/>
      <c r="DG256" s="17"/>
      <c r="DH256" s="17"/>
      <c r="DI256" s="17"/>
      <c r="DJ256" s="17"/>
      <c r="DK256" s="17"/>
      <c r="DL256" s="17"/>
      <c r="DM256" s="17"/>
      <c r="DN256" s="17"/>
      <c r="DO256" s="17"/>
      <c r="DP256" s="17"/>
      <c r="DQ256" s="17"/>
      <c r="DR256" s="17"/>
      <c r="DS256" s="17"/>
      <c r="DT256" s="17"/>
      <c r="DU256" s="17"/>
      <c r="DV256" s="17"/>
      <c r="DW256" s="17"/>
      <c r="DX256" s="17"/>
      <c r="DY256" s="17"/>
      <c r="DZ256" s="17"/>
      <c r="EA256" s="17"/>
      <c r="EB256" s="17"/>
      <c r="EC256" s="17"/>
    </row>
    <row r="257" spans="1:133" x14ac:dyDescent="0.25">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7"/>
      <c r="BU257" s="17"/>
      <c r="BV257" s="17"/>
      <c r="BW257" s="17"/>
      <c r="BX257" s="17"/>
      <c r="BY257" s="17"/>
      <c r="BZ257" s="17"/>
      <c r="CA257" s="17"/>
      <c r="CB257" s="17"/>
      <c r="CC257" s="17"/>
      <c r="CD257" s="17"/>
      <c r="CE257" s="17"/>
      <c r="CF257" s="17"/>
      <c r="CG257" s="17"/>
      <c r="CH257" s="17"/>
      <c r="CI257" s="17"/>
      <c r="CJ257" s="17"/>
      <c r="CK257" s="17"/>
      <c r="CL257" s="17"/>
      <c r="CM257" s="17"/>
      <c r="CN257" s="17"/>
      <c r="CO257" s="17"/>
      <c r="CP257" s="17"/>
      <c r="CQ257" s="17"/>
      <c r="CR257" s="17"/>
      <c r="CS257" s="17"/>
      <c r="CT257" s="17"/>
      <c r="CU257" s="17"/>
      <c r="CV257" s="17"/>
      <c r="CW257" s="17"/>
      <c r="CX257" s="17"/>
      <c r="CY257" s="17"/>
      <c r="CZ257" s="17"/>
      <c r="DA257" s="17"/>
      <c r="DB257" s="17"/>
      <c r="DC257" s="17"/>
      <c r="DD257" s="17"/>
      <c r="DE257" s="17"/>
      <c r="DF257" s="17"/>
      <c r="DG257" s="17"/>
      <c r="DH257" s="17"/>
      <c r="DI257" s="17"/>
      <c r="DJ257" s="17"/>
      <c r="DK257" s="17"/>
      <c r="DL257" s="17"/>
      <c r="DM257" s="17"/>
      <c r="DN257" s="17"/>
      <c r="DO257" s="17"/>
      <c r="DP257" s="17"/>
      <c r="DQ257" s="17"/>
      <c r="DR257" s="17"/>
      <c r="DS257" s="17"/>
      <c r="DT257" s="17"/>
      <c r="DU257" s="17"/>
      <c r="DV257" s="17"/>
      <c r="DW257" s="17"/>
      <c r="DX257" s="17"/>
      <c r="DY257" s="17"/>
      <c r="DZ257" s="17"/>
      <c r="EA257" s="17"/>
      <c r="EB257" s="17"/>
      <c r="EC257" s="17"/>
    </row>
    <row r="258" spans="1:133" x14ac:dyDescent="0.25">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17"/>
      <c r="BI258" s="17"/>
      <c r="BJ258" s="17"/>
      <c r="BK258" s="17"/>
      <c r="BL258" s="17"/>
      <c r="BM258" s="17"/>
      <c r="BN258" s="17"/>
      <c r="BO258" s="17"/>
      <c r="BP258" s="17"/>
      <c r="BQ258" s="17"/>
      <c r="BR258" s="17"/>
      <c r="BS258" s="17"/>
      <c r="BT258" s="17"/>
      <c r="BU258" s="17"/>
      <c r="BV258" s="17"/>
      <c r="BW258" s="17"/>
      <c r="BX258" s="17"/>
      <c r="BY258" s="17"/>
      <c r="BZ258" s="17"/>
      <c r="CA258" s="17"/>
      <c r="CB258" s="17"/>
      <c r="CC258" s="17"/>
      <c r="CD258" s="17"/>
      <c r="CE258" s="17"/>
      <c r="CF258" s="17"/>
      <c r="CG258" s="17"/>
      <c r="CH258" s="17"/>
      <c r="CI258" s="17"/>
      <c r="CJ258" s="17"/>
      <c r="CK258" s="17"/>
      <c r="CL258" s="17"/>
      <c r="CM258" s="17"/>
      <c r="CN258" s="17"/>
      <c r="CO258" s="17"/>
      <c r="CP258" s="17"/>
      <c r="CQ258" s="17"/>
      <c r="CR258" s="17"/>
      <c r="CS258" s="17"/>
      <c r="CT258" s="17"/>
      <c r="CU258" s="17"/>
      <c r="CV258" s="17"/>
      <c r="CW258" s="17"/>
      <c r="CX258" s="17"/>
      <c r="CY258" s="17"/>
      <c r="CZ258" s="17"/>
      <c r="DA258" s="17"/>
      <c r="DB258" s="17"/>
      <c r="DC258" s="17"/>
      <c r="DD258" s="17"/>
      <c r="DE258" s="17"/>
      <c r="DF258" s="17"/>
      <c r="DG258" s="17"/>
      <c r="DH258" s="17"/>
      <c r="DI258" s="17"/>
      <c r="DJ258" s="17"/>
      <c r="DK258" s="17"/>
      <c r="DL258" s="17"/>
      <c r="DM258" s="17"/>
      <c r="DN258" s="17"/>
      <c r="DO258" s="17"/>
      <c r="DP258" s="17"/>
      <c r="DQ258" s="17"/>
      <c r="DR258" s="17"/>
      <c r="DS258" s="17"/>
      <c r="DT258" s="17"/>
      <c r="DU258" s="17"/>
      <c r="DV258" s="17"/>
      <c r="DW258" s="17"/>
      <c r="DX258" s="17"/>
      <c r="DY258" s="17"/>
      <c r="DZ258" s="17"/>
      <c r="EA258" s="17"/>
      <c r="EB258" s="17"/>
      <c r="EC258" s="17"/>
    </row>
    <row r="259" spans="1:133" x14ac:dyDescent="0.25">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c r="CF259" s="17"/>
      <c r="CG259" s="17"/>
      <c r="CH259" s="17"/>
      <c r="CI259" s="17"/>
      <c r="CJ259" s="17"/>
      <c r="CK259" s="17"/>
      <c r="CL259" s="17"/>
      <c r="CM259" s="17"/>
      <c r="CN259" s="17"/>
      <c r="CO259" s="17"/>
      <c r="CP259" s="17"/>
      <c r="CQ259" s="17"/>
      <c r="CR259" s="17"/>
      <c r="CS259" s="17"/>
      <c r="CT259" s="17"/>
      <c r="CU259" s="17"/>
      <c r="CV259" s="17"/>
      <c r="CW259" s="17"/>
      <c r="CX259" s="17"/>
      <c r="CY259" s="17"/>
      <c r="CZ259" s="17"/>
      <c r="DA259" s="17"/>
      <c r="DB259" s="17"/>
      <c r="DC259" s="17"/>
      <c r="DD259" s="17"/>
      <c r="DE259" s="17"/>
      <c r="DF259" s="17"/>
      <c r="DG259" s="17"/>
      <c r="DH259" s="17"/>
      <c r="DI259" s="17"/>
      <c r="DJ259" s="17"/>
      <c r="DK259" s="17"/>
      <c r="DL259" s="17"/>
      <c r="DM259" s="17"/>
      <c r="DN259" s="17"/>
      <c r="DO259" s="17"/>
      <c r="DP259" s="17"/>
      <c r="DQ259" s="17"/>
      <c r="DR259" s="17"/>
      <c r="DS259" s="17"/>
      <c r="DT259" s="17"/>
      <c r="DU259" s="17"/>
      <c r="DV259" s="17"/>
      <c r="DW259" s="17"/>
      <c r="DX259" s="17"/>
      <c r="DY259" s="17"/>
      <c r="DZ259" s="17"/>
      <c r="EA259" s="17"/>
      <c r="EB259" s="17"/>
      <c r="EC259" s="17"/>
    </row>
    <row r="260" spans="1:133" x14ac:dyDescent="0.25">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c r="BU260" s="17"/>
      <c r="BV260" s="17"/>
      <c r="BW260" s="17"/>
      <c r="BX260" s="17"/>
      <c r="BY260" s="17"/>
      <c r="BZ260" s="17"/>
      <c r="CA260" s="17"/>
      <c r="CB260" s="17"/>
      <c r="CC260" s="17"/>
      <c r="CD260" s="17"/>
      <c r="CE260" s="17"/>
      <c r="CF260" s="17"/>
      <c r="CG260" s="17"/>
      <c r="CH260" s="17"/>
      <c r="CI260" s="17"/>
      <c r="CJ260" s="17"/>
      <c r="CK260" s="17"/>
      <c r="CL260" s="17"/>
      <c r="CM260" s="17"/>
      <c r="CN260" s="17"/>
      <c r="CO260" s="17"/>
      <c r="CP260" s="17"/>
      <c r="CQ260" s="17"/>
      <c r="CR260" s="17"/>
      <c r="CS260" s="17"/>
      <c r="CT260" s="17"/>
      <c r="CU260" s="17"/>
      <c r="CV260" s="17"/>
      <c r="CW260" s="17"/>
      <c r="CX260" s="17"/>
      <c r="CY260" s="17"/>
      <c r="CZ260" s="17"/>
      <c r="DA260" s="17"/>
      <c r="DB260" s="17"/>
      <c r="DC260" s="17"/>
      <c r="DD260" s="17"/>
      <c r="DE260" s="17"/>
      <c r="DF260" s="17"/>
      <c r="DG260" s="17"/>
      <c r="DH260" s="17"/>
      <c r="DI260" s="17"/>
      <c r="DJ260" s="17"/>
      <c r="DK260" s="17"/>
      <c r="DL260" s="17"/>
      <c r="DM260" s="17"/>
      <c r="DN260" s="17"/>
      <c r="DO260" s="17"/>
      <c r="DP260" s="17"/>
      <c r="DQ260" s="17"/>
      <c r="DR260" s="17"/>
      <c r="DS260" s="17"/>
      <c r="DT260" s="17"/>
      <c r="DU260" s="17"/>
      <c r="DV260" s="17"/>
      <c r="DW260" s="17"/>
      <c r="DX260" s="17"/>
      <c r="DY260" s="17"/>
      <c r="DZ260" s="17"/>
      <c r="EA260" s="17"/>
      <c r="EB260" s="17"/>
      <c r="EC260" s="17"/>
    </row>
    <row r="261" spans="1:133" x14ac:dyDescent="0.25">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c r="CQ261" s="17"/>
      <c r="CR261" s="17"/>
      <c r="CS261" s="17"/>
      <c r="CT261" s="17"/>
      <c r="CU261" s="17"/>
      <c r="CV261" s="17"/>
      <c r="CW261" s="17"/>
      <c r="CX261" s="17"/>
      <c r="CY261" s="17"/>
      <c r="CZ261" s="17"/>
      <c r="DA261" s="17"/>
      <c r="DB261" s="17"/>
      <c r="DC261" s="17"/>
      <c r="DD261" s="17"/>
      <c r="DE261" s="17"/>
      <c r="DF261" s="17"/>
      <c r="DG261" s="17"/>
      <c r="DH261" s="17"/>
      <c r="DI261" s="17"/>
      <c r="DJ261" s="17"/>
      <c r="DK261" s="17"/>
      <c r="DL261" s="17"/>
      <c r="DM261" s="17"/>
      <c r="DN261" s="17"/>
      <c r="DO261" s="17"/>
      <c r="DP261" s="17"/>
      <c r="DQ261" s="17"/>
      <c r="DR261" s="17"/>
      <c r="DS261" s="17"/>
      <c r="DT261" s="17"/>
      <c r="DU261" s="17"/>
      <c r="DV261" s="17"/>
      <c r="DW261" s="17"/>
      <c r="DX261" s="17"/>
      <c r="DY261" s="17"/>
      <c r="DZ261" s="17"/>
      <c r="EA261" s="17"/>
      <c r="EB261" s="17"/>
      <c r="EC261" s="17"/>
    </row>
    <row r="262" spans="1:133" x14ac:dyDescent="0.25">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c r="BF262" s="17"/>
      <c r="BG262" s="17"/>
      <c r="BH262" s="17"/>
      <c r="BI262" s="17"/>
      <c r="BJ262" s="17"/>
      <c r="BK262" s="17"/>
      <c r="BL262" s="17"/>
      <c r="BM262" s="17"/>
      <c r="BN262" s="17"/>
      <c r="BO262" s="17"/>
      <c r="BP262" s="17"/>
      <c r="BQ262" s="17"/>
      <c r="BR262" s="17"/>
      <c r="BS262" s="17"/>
      <c r="BT262" s="17"/>
      <c r="BU262" s="17"/>
      <c r="BV262" s="17"/>
      <c r="BW262" s="17"/>
      <c r="BX262" s="17"/>
      <c r="BY262" s="17"/>
      <c r="BZ262" s="17"/>
      <c r="CA262" s="17"/>
      <c r="CB262" s="17"/>
      <c r="CC262" s="17"/>
      <c r="CD262" s="17"/>
      <c r="CE262" s="17"/>
      <c r="CF262" s="17"/>
      <c r="CG262" s="17"/>
      <c r="CH262" s="17"/>
      <c r="CI262" s="17"/>
      <c r="CJ262" s="17"/>
      <c r="CK262" s="17"/>
      <c r="CL262" s="17"/>
      <c r="CM262" s="17"/>
      <c r="CN262" s="17"/>
      <c r="CO262" s="17"/>
      <c r="CP262" s="17"/>
      <c r="CQ262" s="17"/>
      <c r="CR262" s="17"/>
      <c r="CS262" s="17"/>
      <c r="CT262" s="17"/>
      <c r="CU262" s="17"/>
      <c r="CV262" s="17"/>
      <c r="CW262" s="17"/>
      <c r="CX262" s="17"/>
      <c r="CY262" s="17"/>
      <c r="CZ262" s="17"/>
      <c r="DA262" s="17"/>
      <c r="DB262" s="17"/>
      <c r="DC262" s="17"/>
      <c r="DD262" s="17"/>
      <c r="DE262" s="17"/>
      <c r="DF262" s="17"/>
      <c r="DG262" s="17"/>
      <c r="DH262" s="17"/>
      <c r="DI262" s="17"/>
      <c r="DJ262" s="17"/>
      <c r="DK262" s="17"/>
      <c r="DL262" s="17"/>
      <c r="DM262" s="17"/>
      <c r="DN262" s="17"/>
      <c r="DO262" s="17"/>
      <c r="DP262" s="17"/>
      <c r="DQ262" s="17"/>
      <c r="DR262" s="17"/>
      <c r="DS262" s="17"/>
      <c r="DT262" s="17"/>
      <c r="DU262" s="17"/>
      <c r="DV262" s="17"/>
      <c r="DW262" s="17"/>
      <c r="DX262" s="17"/>
      <c r="DY262" s="17"/>
      <c r="DZ262" s="17"/>
      <c r="EA262" s="17"/>
      <c r="EB262" s="17"/>
      <c r="EC262" s="17"/>
    </row>
    <row r="263" spans="1:133" x14ac:dyDescent="0.25">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c r="CE263" s="17"/>
      <c r="CF263" s="17"/>
      <c r="CG263" s="17"/>
      <c r="CH263" s="17"/>
      <c r="CI263" s="17"/>
      <c r="CJ263" s="17"/>
      <c r="CK263" s="17"/>
      <c r="CL263" s="17"/>
      <c r="CM263" s="17"/>
      <c r="CN263" s="17"/>
      <c r="CO263" s="17"/>
      <c r="CP263" s="17"/>
      <c r="CQ263" s="17"/>
      <c r="CR263" s="17"/>
      <c r="CS263" s="17"/>
      <c r="CT263" s="17"/>
      <c r="CU263" s="17"/>
      <c r="CV263" s="17"/>
      <c r="CW263" s="17"/>
      <c r="CX263" s="17"/>
      <c r="CY263" s="17"/>
      <c r="CZ263" s="17"/>
      <c r="DA263" s="17"/>
      <c r="DB263" s="17"/>
      <c r="DC263" s="17"/>
      <c r="DD263" s="17"/>
      <c r="DE263" s="17"/>
      <c r="DF263" s="17"/>
      <c r="DG263" s="17"/>
      <c r="DH263" s="17"/>
      <c r="DI263" s="17"/>
      <c r="DJ263" s="17"/>
      <c r="DK263" s="17"/>
      <c r="DL263" s="17"/>
      <c r="DM263" s="17"/>
      <c r="DN263" s="17"/>
      <c r="DO263" s="17"/>
      <c r="DP263" s="17"/>
      <c r="DQ263" s="17"/>
      <c r="DR263" s="17"/>
      <c r="DS263" s="17"/>
      <c r="DT263" s="17"/>
      <c r="DU263" s="17"/>
      <c r="DV263" s="17"/>
      <c r="DW263" s="17"/>
      <c r="DX263" s="17"/>
      <c r="DY263" s="17"/>
      <c r="DZ263" s="17"/>
      <c r="EA263" s="17"/>
      <c r="EB263" s="17"/>
      <c r="EC263" s="17"/>
    </row>
    <row r="264" spans="1:133" x14ac:dyDescent="0.25">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7"/>
      <c r="BU264" s="17"/>
      <c r="BV264" s="17"/>
      <c r="BW264" s="17"/>
      <c r="BX264" s="17"/>
      <c r="BY264" s="17"/>
      <c r="BZ264" s="17"/>
      <c r="CA264" s="17"/>
      <c r="CB264" s="17"/>
      <c r="CC264" s="17"/>
      <c r="CD264" s="17"/>
      <c r="CE264" s="17"/>
      <c r="CF264" s="17"/>
      <c r="CG264" s="17"/>
      <c r="CH264" s="17"/>
      <c r="CI264" s="17"/>
      <c r="CJ264" s="17"/>
      <c r="CK264" s="17"/>
      <c r="CL264" s="17"/>
      <c r="CM264" s="17"/>
      <c r="CN264" s="17"/>
      <c r="CO264" s="17"/>
      <c r="CP264" s="17"/>
      <c r="CQ264" s="17"/>
      <c r="CR264" s="17"/>
      <c r="CS264" s="17"/>
      <c r="CT264" s="17"/>
      <c r="CU264" s="17"/>
      <c r="CV264" s="17"/>
      <c r="CW264" s="17"/>
      <c r="CX264" s="17"/>
      <c r="CY264" s="17"/>
      <c r="CZ264" s="17"/>
      <c r="DA264" s="17"/>
      <c r="DB264" s="17"/>
      <c r="DC264" s="17"/>
      <c r="DD264" s="17"/>
      <c r="DE264" s="17"/>
      <c r="DF264" s="17"/>
      <c r="DG264" s="17"/>
      <c r="DH264" s="17"/>
      <c r="DI264" s="17"/>
      <c r="DJ264" s="17"/>
      <c r="DK264" s="17"/>
      <c r="DL264" s="17"/>
      <c r="DM264" s="17"/>
      <c r="DN264" s="17"/>
      <c r="DO264" s="17"/>
      <c r="DP264" s="17"/>
      <c r="DQ264" s="17"/>
      <c r="DR264" s="17"/>
      <c r="DS264" s="17"/>
      <c r="DT264" s="17"/>
      <c r="DU264" s="17"/>
      <c r="DV264" s="17"/>
      <c r="DW264" s="17"/>
      <c r="DX264" s="17"/>
      <c r="DY264" s="17"/>
      <c r="DZ264" s="17"/>
      <c r="EA264" s="17"/>
      <c r="EB264" s="17"/>
      <c r="EC264" s="17"/>
    </row>
    <row r="265" spans="1:133" x14ac:dyDescent="0.2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c r="BF265" s="17"/>
      <c r="BG265" s="17"/>
      <c r="BH265" s="17"/>
      <c r="BI265" s="17"/>
      <c r="BJ265" s="17"/>
      <c r="BK265" s="17"/>
      <c r="BL265" s="17"/>
      <c r="BM265" s="17"/>
      <c r="BN265" s="17"/>
      <c r="BO265" s="17"/>
      <c r="BP265" s="17"/>
      <c r="BQ265" s="17"/>
      <c r="BR265" s="17"/>
      <c r="BS265" s="17"/>
      <c r="BT265" s="17"/>
      <c r="BU265" s="17"/>
      <c r="BV265" s="17"/>
      <c r="BW265" s="17"/>
      <c r="BX265" s="17"/>
      <c r="BY265" s="17"/>
      <c r="BZ265" s="17"/>
      <c r="CA265" s="17"/>
      <c r="CB265" s="17"/>
      <c r="CC265" s="17"/>
      <c r="CD265" s="17"/>
      <c r="CE265" s="17"/>
      <c r="CF265" s="17"/>
      <c r="CG265" s="17"/>
      <c r="CH265" s="17"/>
      <c r="CI265" s="17"/>
      <c r="CJ265" s="17"/>
      <c r="CK265" s="17"/>
      <c r="CL265" s="17"/>
      <c r="CM265" s="17"/>
      <c r="CN265" s="17"/>
      <c r="CO265" s="17"/>
      <c r="CP265" s="17"/>
      <c r="CQ265" s="17"/>
      <c r="CR265" s="17"/>
      <c r="CS265" s="17"/>
      <c r="CT265" s="17"/>
      <c r="CU265" s="17"/>
      <c r="CV265" s="17"/>
      <c r="CW265" s="17"/>
      <c r="CX265" s="17"/>
      <c r="CY265" s="17"/>
      <c r="CZ265" s="17"/>
      <c r="DA265" s="17"/>
      <c r="DB265" s="17"/>
      <c r="DC265" s="17"/>
      <c r="DD265" s="17"/>
      <c r="DE265" s="17"/>
      <c r="DF265" s="17"/>
      <c r="DG265" s="17"/>
      <c r="DH265" s="17"/>
      <c r="DI265" s="17"/>
      <c r="DJ265" s="17"/>
      <c r="DK265" s="17"/>
      <c r="DL265" s="17"/>
      <c r="DM265" s="17"/>
      <c r="DN265" s="17"/>
      <c r="DO265" s="17"/>
      <c r="DP265" s="17"/>
      <c r="DQ265" s="17"/>
      <c r="DR265" s="17"/>
      <c r="DS265" s="17"/>
      <c r="DT265" s="17"/>
      <c r="DU265" s="17"/>
      <c r="DV265" s="17"/>
      <c r="DW265" s="17"/>
      <c r="DX265" s="17"/>
      <c r="DY265" s="17"/>
      <c r="DZ265" s="17"/>
      <c r="EA265" s="17"/>
      <c r="EB265" s="17"/>
      <c r="EC265" s="17"/>
    </row>
    <row r="266" spans="1:133" x14ac:dyDescent="0.25">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c r="BF266" s="17"/>
      <c r="BG266" s="17"/>
      <c r="BH266" s="17"/>
      <c r="BI266" s="17"/>
      <c r="BJ266" s="17"/>
      <c r="BK266" s="17"/>
      <c r="BL266" s="17"/>
      <c r="BM266" s="17"/>
      <c r="BN266" s="17"/>
      <c r="BO266" s="17"/>
      <c r="BP266" s="17"/>
      <c r="BQ266" s="17"/>
      <c r="BR266" s="17"/>
      <c r="BS266" s="17"/>
      <c r="BT266" s="17"/>
      <c r="BU266" s="17"/>
      <c r="BV266" s="17"/>
      <c r="BW266" s="17"/>
      <c r="BX266" s="17"/>
      <c r="BY266" s="17"/>
      <c r="BZ266" s="17"/>
      <c r="CA266" s="17"/>
      <c r="CB266" s="17"/>
      <c r="CC266" s="17"/>
      <c r="CD266" s="17"/>
      <c r="CE266" s="17"/>
      <c r="CF266" s="17"/>
      <c r="CG266" s="17"/>
      <c r="CH266" s="17"/>
      <c r="CI266" s="17"/>
      <c r="CJ266" s="17"/>
      <c r="CK266" s="17"/>
      <c r="CL266" s="17"/>
      <c r="CM266" s="17"/>
      <c r="CN266" s="17"/>
      <c r="CO266" s="17"/>
      <c r="CP266" s="17"/>
      <c r="CQ266" s="17"/>
      <c r="CR266" s="17"/>
      <c r="CS266" s="17"/>
      <c r="CT266" s="17"/>
      <c r="CU266" s="17"/>
      <c r="CV266" s="17"/>
      <c r="CW266" s="17"/>
      <c r="CX266" s="17"/>
      <c r="CY266" s="17"/>
      <c r="CZ266" s="17"/>
      <c r="DA266" s="17"/>
      <c r="DB266" s="17"/>
      <c r="DC266" s="17"/>
      <c r="DD266" s="17"/>
      <c r="DE266" s="17"/>
      <c r="DF266" s="17"/>
      <c r="DG266" s="17"/>
      <c r="DH266" s="17"/>
      <c r="DI266" s="17"/>
      <c r="DJ266" s="17"/>
      <c r="DK266" s="17"/>
      <c r="DL266" s="17"/>
      <c r="DM266" s="17"/>
      <c r="DN266" s="17"/>
      <c r="DO266" s="17"/>
      <c r="DP266" s="17"/>
      <c r="DQ266" s="17"/>
      <c r="DR266" s="17"/>
      <c r="DS266" s="17"/>
      <c r="DT266" s="17"/>
      <c r="DU266" s="17"/>
      <c r="DV266" s="17"/>
      <c r="DW266" s="17"/>
      <c r="DX266" s="17"/>
      <c r="DY266" s="17"/>
      <c r="DZ266" s="17"/>
      <c r="EA266" s="17"/>
      <c r="EB266" s="17"/>
      <c r="EC266" s="17"/>
    </row>
    <row r="267" spans="1:133" x14ac:dyDescent="0.25">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c r="CE267" s="17"/>
      <c r="CF267" s="17"/>
      <c r="CG267" s="17"/>
      <c r="CH267" s="17"/>
      <c r="CI267" s="17"/>
      <c r="CJ267" s="17"/>
      <c r="CK267" s="17"/>
      <c r="CL267" s="17"/>
      <c r="CM267" s="17"/>
      <c r="CN267" s="17"/>
      <c r="CO267" s="17"/>
      <c r="CP267" s="17"/>
      <c r="CQ267" s="17"/>
      <c r="CR267" s="17"/>
      <c r="CS267" s="17"/>
      <c r="CT267" s="17"/>
      <c r="CU267" s="17"/>
      <c r="CV267" s="17"/>
      <c r="CW267" s="17"/>
      <c r="CX267" s="17"/>
      <c r="CY267" s="17"/>
      <c r="CZ267" s="17"/>
      <c r="DA267" s="17"/>
      <c r="DB267" s="17"/>
      <c r="DC267" s="17"/>
      <c r="DD267" s="17"/>
      <c r="DE267" s="17"/>
      <c r="DF267" s="17"/>
      <c r="DG267" s="17"/>
      <c r="DH267" s="17"/>
      <c r="DI267" s="17"/>
      <c r="DJ267" s="17"/>
      <c r="DK267" s="17"/>
      <c r="DL267" s="17"/>
      <c r="DM267" s="17"/>
      <c r="DN267" s="17"/>
      <c r="DO267" s="17"/>
      <c r="DP267" s="17"/>
      <c r="DQ267" s="17"/>
      <c r="DR267" s="17"/>
      <c r="DS267" s="17"/>
      <c r="DT267" s="17"/>
      <c r="DU267" s="17"/>
      <c r="DV267" s="17"/>
      <c r="DW267" s="17"/>
      <c r="DX267" s="17"/>
      <c r="DY267" s="17"/>
      <c r="DZ267" s="17"/>
      <c r="EA267" s="17"/>
      <c r="EB267" s="17"/>
      <c r="EC267" s="17"/>
    </row>
    <row r="268" spans="1:133" x14ac:dyDescent="0.25">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c r="CQ268" s="17"/>
      <c r="CR268" s="17"/>
      <c r="CS268" s="17"/>
      <c r="CT268" s="17"/>
      <c r="CU268" s="17"/>
      <c r="CV268" s="17"/>
      <c r="CW268" s="17"/>
      <c r="CX268" s="17"/>
      <c r="CY268" s="17"/>
      <c r="CZ268" s="17"/>
      <c r="DA268" s="17"/>
      <c r="DB268" s="17"/>
      <c r="DC268" s="17"/>
      <c r="DD268" s="17"/>
      <c r="DE268" s="17"/>
      <c r="DF268" s="17"/>
      <c r="DG268" s="17"/>
      <c r="DH268" s="17"/>
      <c r="DI268" s="17"/>
      <c r="DJ268" s="17"/>
      <c r="DK268" s="17"/>
      <c r="DL268" s="17"/>
      <c r="DM268" s="17"/>
      <c r="DN268" s="17"/>
      <c r="DO268" s="17"/>
      <c r="DP268" s="17"/>
      <c r="DQ268" s="17"/>
      <c r="DR268" s="17"/>
      <c r="DS268" s="17"/>
      <c r="DT268" s="17"/>
      <c r="DU268" s="17"/>
      <c r="DV268" s="17"/>
      <c r="DW268" s="17"/>
      <c r="DX268" s="17"/>
      <c r="DY268" s="17"/>
      <c r="DZ268" s="17"/>
      <c r="EA268" s="17"/>
      <c r="EB268" s="17"/>
      <c r="EC268" s="17"/>
    </row>
    <row r="269" spans="1:133" x14ac:dyDescent="0.25">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c r="CQ269" s="17"/>
      <c r="CR269" s="17"/>
      <c r="CS269" s="17"/>
      <c r="CT269" s="17"/>
      <c r="CU269" s="17"/>
      <c r="CV269" s="17"/>
      <c r="CW269" s="17"/>
      <c r="CX269" s="17"/>
      <c r="CY269" s="17"/>
      <c r="CZ269" s="17"/>
      <c r="DA269" s="17"/>
      <c r="DB269" s="17"/>
      <c r="DC269" s="17"/>
      <c r="DD269" s="17"/>
      <c r="DE269" s="17"/>
      <c r="DF269" s="17"/>
      <c r="DG269" s="17"/>
      <c r="DH269" s="17"/>
      <c r="DI269" s="17"/>
      <c r="DJ269" s="17"/>
      <c r="DK269" s="17"/>
      <c r="DL269" s="17"/>
      <c r="DM269" s="17"/>
      <c r="DN269" s="17"/>
      <c r="DO269" s="17"/>
      <c r="DP269" s="17"/>
      <c r="DQ269" s="17"/>
      <c r="DR269" s="17"/>
      <c r="DS269" s="17"/>
      <c r="DT269" s="17"/>
      <c r="DU269" s="17"/>
      <c r="DV269" s="17"/>
      <c r="DW269" s="17"/>
      <c r="DX269" s="17"/>
      <c r="DY269" s="17"/>
      <c r="DZ269" s="17"/>
      <c r="EA269" s="17"/>
      <c r="EB269" s="17"/>
      <c r="EC269" s="17"/>
    </row>
    <row r="270" spans="1:133" x14ac:dyDescent="0.25">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c r="BF270" s="17"/>
      <c r="BG270" s="17"/>
      <c r="BH270" s="17"/>
      <c r="BI270" s="17"/>
      <c r="BJ270" s="17"/>
      <c r="BK270" s="17"/>
      <c r="BL270" s="17"/>
      <c r="BM270" s="17"/>
      <c r="BN270" s="17"/>
      <c r="BO270" s="17"/>
      <c r="BP270" s="17"/>
      <c r="BQ270" s="17"/>
      <c r="BR270" s="17"/>
      <c r="BS270" s="17"/>
      <c r="BT270" s="17"/>
      <c r="BU270" s="17"/>
      <c r="BV270" s="17"/>
      <c r="BW270" s="17"/>
      <c r="BX270" s="17"/>
      <c r="BY270" s="17"/>
      <c r="BZ270" s="17"/>
      <c r="CA270" s="17"/>
      <c r="CB270" s="17"/>
      <c r="CC270" s="17"/>
      <c r="CD270" s="17"/>
      <c r="CE270" s="17"/>
      <c r="CF270" s="17"/>
      <c r="CG270" s="17"/>
      <c r="CH270" s="17"/>
      <c r="CI270" s="17"/>
      <c r="CJ270" s="17"/>
      <c r="CK270" s="17"/>
      <c r="CL270" s="17"/>
      <c r="CM270" s="17"/>
      <c r="CN270" s="17"/>
      <c r="CO270" s="17"/>
      <c r="CP270" s="17"/>
      <c r="CQ270" s="17"/>
      <c r="CR270" s="17"/>
      <c r="CS270" s="17"/>
      <c r="CT270" s="17"/>
      <c r="CU270" s="17"/>
      <c r="CV270" s="17"/>
      <c r="CW270" s="17"/>
      <c r="CX270" s="17"/>
      <c r="CY270" s="17"/>
      <c r="CZ270" s="17"/>
      <c r="DA270" s="17"/>
      <c r="DB270" s="17"/>
      <c r="DC270" s="17"/>
      <c r="DD270" s="17"/>
      <c r="DE270" s="17"/>
      <c r="DF270" s="17"/>
      <c r="DG270" s="17"/>
      <c r="DH270" s="17"/>
      <c r="DI270" s="17"/>
      <c r="DJ270" s="17"/>
      <c r="DK270" s="17"/>
      <c r="DL270" s="17"/>
      <c r="DM270" s="17"/>
      <c r="DN270" s="17"/>
      <c r="DO270" s="17"/>
      <c r="DP270" s="17"/>
      <c r="DQ270" s="17"/>
      <c r="DR270" s="17"/>
      <c r="DS270" s="17"/>
      <c r="DT270" s="17"/>
      <c r="DU270" s="17"/>
      <c r="DV270" s="17"/>
      <c r="DW270" s="17"/>
      <c r="DX270" s="17"/>
      <c r="DY270" s="17"/>
      <c r="DZ270" s="17"/>
      <c r="EA270" s="17"/>
      <c r="EB270" s="17"/>
      <c r="EC270" s="17"/>
    </row>
    <row r="271" spans="1:133" x14ac:dyDescent="0.25">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c r="CE271" s="17"/>
      <c r="CF271" s="17"/>
      <c r="CG271" s="17"/>
      <c r="CH271" s="17"/>
      <c r="CI271" s="17"/>
      <c r="CJ271" s="17"/>
      <c r="CK271" s="17"/>
      <c r="CL271" s="17"/>
      <c r="CM271" s="17"/>
      <c r="CN271" s="17"/>
      <c r="CO271" s="17"/>
      <c r="CP271" s="17"/>
      <c r="CQ271" s="17"/>
      <c r="CR271" s="17"/>
      <c r="CS271" s="17"/>
      <c r="CT271" s="17"/>
      <c r="CU271" s="17"/>
      <c r="CV271" s="17"/>
      <c r="CW271" s="17"/>
      <c r="CX271" s="17"/>
      <c r="CY271" s="17"/>
      <c r="CZ271" s="17"/>
      <c r="DA271" s="17"/>
      <c r="DB271" s="17"/>
      <c r="DC271" s="17"/>
      <c r="DD271" s="17"/>
      <c r="DE271" s="17"/>
      <c r="DF271" s="17"/>
      <c r="DG271" s="17"/>
      <c r="DH271" s="17"/>
      <c r="DI271" s="17"/>
      <c r="DJ271" s="17"/>
      <c r="DK271" s="17"/>
      <c r="DL271" s="17"/>
      <c r="DM271" s="17"/>
      <c r="DN271" s="17"/>
      <c r="DO271" s="17"/>
      <c r="DP271" s="17"/>
      <c r="DQ271" s="17"/>
      <c r="DR271" s="17"/>
      <c r="DS271" s="17"/>
      <c r="DT271" s="17"/>
      <c r="DU271" s="17"/>
      <c r="DV271" s="17"/>
      <c r="DW271" s="17"/>
      <c r="DX271" s="17"/>
      <c r="DY271" s="17"/>
      <c r="DZ271" s="17"/>
      <c r="EA271" s="17"/>
      <c r="EB271" s="17"/>
      <c r="EC271" s="17"/>
    </row>
    <row r="272" spans="1:133" x14ac:dyDescent="0.25">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c r="BF272" s="17"/>
      <c r="BG272" s="17"/>
      <c r="BH272" s="17"/>
      <c r="BI272" s="17"/>
      <c r="BJ272" s="17"/>
      <c r="BK272" s="17"/>
      <c r="BL272" s="17"/>
      <c r="BM272" s="17"/>
      <c r="BN272" s="17"/>
      <c r="BO272" s="17"/>
      <c r="BP272" s="17"/>
      <c r="BQ272" s="17"/>
      <c r="BR272" s="17"/>
      <c r="BS272" s="17"/>
      <c r="BT272" s="17"/>
      <c r="BU272" s="17"/>
      <c r="BV272" s="17"/>
      <c r="BW272" s="17"/>
      <c r="BX272" s="17"/>
      <c r="BY272" s="17"/>
      <c r="BZ272" s="17"/>
      <c r="CA272" s="17"/>
      <c r="CB272" s="17"/>
      <c r="CC272" s="17"/>
      <c r="CD272" s="17"/>
      <c r="CE272" s="17"/>
      <c r="CF272" s="17"/>
      <c r="CG272" s="17"/>
      <c r="CH272" s="17"/>
      <c r="CI272" s="17"/>
      <c r="CJ272" s="17"/>
      <c r="CK272" s="17"/>
      <c r="CL272" s="17"/>
      <c r="CM272" s="17"/>
      <c r="CN272" s="17"/>
      <c r="CO272" s="17"/>
      <c r="CP272" s="17"/>
      <c r="CQ272" s="17"/>
      <c r="CR272" s="17"/>
      <c r="CS272" s="17"/>
      <c r="CT272" s="17"/>
      <c r="CU272" s="17"/>
      <c r="CV272" s="17"/>
      <c r="CW272" s="17"/>
      <c r="CX272" s="17"/>
      <c r="CY272" s="17"/>
      <c r="CZ272" s="17"/>
      <c r="DA272" s="17"/>
      <c r="DB272" s="17"/>
      <c r="DC272" s="17"/>
      <c r="DD272" s="17"/>
      <c r="DE272" s="17"/>
      <c r="DF272" s="17"/>
      <c r="DG272" s="17"/>
      <c r="DH272" s="17"/>
      <c r="DI272" s="17"/>
      <c r="DJ272" s="17"/>
      <c r="DK272" s="17"/>
      <c r="DL272" s="17"/>
      <c r="DM272" s="17"/>
      <c r="DN272" s="17"/>
      <c r="DO272" s="17"/>
      <c r="DP272" s="17"/>
      <c r="DQ272" s="17"/>
      <c r="DR272" s="17"/>
      <c r="DS272" s="17"/>
      <c r="DT272" s="17"/>
      <c r="DU272" s="17"/>
      <c r="DV272" s="17"/>
      <c r="DW272" s="17"/>
      <c r="DX272" s="17"/>
      <c r="DY272" s="17"/>
      <c r="DZ272" s="17"/>
      <c r="EA272" s="17"/>
      <c r="EB272" s="17"/>
      <c r="EC272" s="17"/>
    </row>
    <row r="273" spans="1:133" x14ac:dyDescent="0.25">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c r="BF273" s="17"/>
      <c r="BG273" s="17"/>
      <c r="BH273" s="17"/>
      <c r="BI273" s="17"/>
      <c r="BJ273" s="17"/>
      <c r="BK273" s="17"/>
      <c r="BL273" s="17"/>
      <c r="BM273" s="17"/>
      <c r="BN273" s="17"/>
      <c r="BO273" s="17"/>
      <c r="BP273" s="17"/>
      <c r="BQ273" s="17"/>
      <c r="BR273" s="17"/>
      <c r="BS273" s="17"/>
      <c r="BT273" s="17"/>
      <c r="BU273" s="17"/>
      <c r="BV273" s="17"/>
      <c r="BW273" s="17"/>
      <c r="BX273" s="17"/>
      <c r="BY273" s="17"/>
      <c r="BZ273" s="17"/>
      <c r="CA273" s="17"/>
      <c r="CB273" s="17"/>
      <c r="CC273" s="17"/>
      <c r="CD273" s="17"/>
      <c r="CE273" s="17"/>
      <c r="CF273" s="17"/>
      <c r="CG273" s="17"/>
      <c r="CH273" s="17"/>
      <c r="CI273" s="17"/>
      <c r="CJ273" s="17"/>
      <c r="CK273" s="17"/>
      <c r="CL273" s="17"/>
      <c r="CM273" s="17"/>
      <c r="CN273" s="17"/>
      <c r="CO273" s="17"/>
      <c r="CP273" s="17"/>
      <c r="CQ273" s="17"/>
      <c r="CR273" s="17"/>
      <c r="CS273" s="17"/>
      <c r="CT273" s="17"/>
      <c r="CU273" s="17"/>
      <c r="CV273" s="17"/>
      <c r="CW273" s="17"/>
      <c r="CX273" s="17"/>
      <c r="CY273" s="17"/>
      <c r="CZ273" s="17"/>
      <c r="DA273" s="17"/>
      <c r="DB273" s="17"/>
      <c r="DC273" s="17"/>
      <c r="DD273" s="17"/>
      <c r="DE273" s="17"/>
      <c r="DF273" s="17"/>
      <c r="DG273" s="17"/>
      <c r="DH273" s="17"/>
      <c r="DI273" s="17"/>
      <c r="DJ273" s="17"/>
      <c r="DK273" s="17"/>
      <c r="DL273" s="17"/>
      <c r="DM273" s="17"/>
      <c r="DN273" s="17"/>
      <c r="DO273" s="17"/>
      <c r="DP273" s="17"/>
      <c r="DQ273" s="17"/>
      <c r="DR273" s="17"/>
      <c r="DS273" s="17"/>
      <c r="DT273" s="17"/>
      <c r="DU273" s="17"/>
      <c r="DV273" s="17"/>
      <c r="DW273" s="17"/>
      <c r="DX273" s="17"/>
      <c r="DY273" s="17"/>
      <c r="DZ273" s="17"/>
      <c r="EA273" s="17"/>
      <c r="EB273" s="17"/>
      <c r="EC273" s="17"/>
    </row>
    <row r="274" spans="1:133" x14ac:dyDescent="0.25">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c r="BF274" s="17"/>
      <c r="BG274" s="17"/>
      <c r="BH274" s="17"/>
      <c r="BI274" s="17"/>
      <c r="BJ274" s="17"/>
      <c r="BK274" s="17"/>
      <c r="BL274" s="17"/>
      <c r="BM274" s="17"/>
      <c r="BN274" s="17"/>
      <c r="BO274" s="17"/>
      <c r="BP274" s="17"/>
      <c r="BQ274" s="17"/>
      <c r="BR274" s="17"/>
      <c r="BS274" s="17"/>
      <c r="BT274" s="17"/>
      <c r="BU274" s="17"/>
      <c r="BV274" s="17"/>
      <c r="BW274" s="17"/>
      <c r="BX274" s="17"/>
      <c r="BY274" s="17"/>
      <c r="BZ274" s="17"/>
      <c r="CA274" s="17"/>
      <c r="CB274" s="17"/>
      <c r="CC274" s="17"/>
      <c r="CD274" s="17"/>
      <c r="CE274" s="17"/>
      <c r="CF274" s="17"/>
      <c r="CG274" s="17"/>
      <c r="CH274" s="17"/>
      <c r="CI274" s="17"/>
      <c r="CJ274" s="17"/>
      <c r="CK274" s="17"/>
      <c r="CL274" s="17"/>
      <c r="CM274" s="17"/>
      <c r="CN274" s="17"/>
      <c r="CO274" s="17"/>
      <c r="CP274" s="17"/>
      <c r="CQ274" s="17"/>
      <c r="CR274" s="17"/>
      <c r="CS274" s="17"/>
      <c r="CT274" s="17"/>
      <c r="CU274" s="17"/>
      <c r="CV274" s="17"/>
      <c r="CW274" s="17"/>
      <c r="CX274" s="17"/>
      <c r="CY274" s="17"/>
      <c r="CZ274" s="17"/>
      <c r="DA274" s="17"/>
      <c r="DB274" s="17"/>
      <c r="DC274" s="17"/>
      <c r="DD274" s="17"/>
      <c r="DE274" s="17"/>
      <c r="DF274" s="17"/>
      <c r="DG274" s="17"/>
      <c r="DH274" s="17"/>
      <c r="DI274" s="17"/>
      <c r="DJ274" s="17"/>
      <c r="DK274" s="17"/>
      <c r="DL274" s="17"/>
      <c r="DM274" s="17"/>
      <c r="DN274" s="17"/>
      <c r="DO274" s="17"/>
      <c r="DP274" s="17"/>
      <c r="DQ274" s="17"/>
      <c r="DR274" s="17"/>
      <c r="DS274" s="17"/>
      <c r="DT274" s="17"/>
      <c r="DU274" s="17"/>
      <c r="DV274" s="17"/>
      <c r="DW274" s="17"/>
      <c r="DX274" s="17"/>
      <c r="DY274" s="17"/>
      <c r="DZ274" s="17"/>
      <c r="EA274" s="17"/>
      <c r="EB274" s="17"/>
      <c r="EC274" s="17"/>
    </row>
    <row r="275" spans="1:133" x14ac:dyDescent="0.2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c r="BF275" s="17"/>
      <c r="BG275" s="17"/>
      <c r="BH275" s="17"/>
      <c r="BI275" s="17"/>
      <c r="BJ275" s="17"/>
      <c r="BK275" s="17"/>
      <c r="BL275" s="17"/>
      <c r="BM275" s="17"/>
      <c r="BN275" s="17"/>
      <c r="BO275" s="17"/>
      <c r="BP275" s="17"/>
      <c r="BQ275" s="17"/>
      <c r="BR275" s="17"/>
      <c r="BS275" s="17"/>
      <c r="BT275" s="17"/>
      <c r="BU275" s="17"/>
      <c r="BV275" s="17"/>
      <c r="BW275" s="17"/>
      <c r="BX275" s="17"/>
      <c r="BY275" s="17"/>
      <c r="BZ275" s="17"/>
      <c r="CA275" s="17"/>
      <c r="CB275" s="17"/>
      <c r="CC275" s="17"/>
      <c r="CD275" s="17"/>
      <c r="CE275" s="17"/>
      <c r="CF275" s="17"/>
      <c r="CG275" s="17"/>
      <c r="CH275" s="17"/>
      <c r="CI275" s="17"/>
      <c r="CJ275" s="17"/>
      <c r="CK275" s="17"/>
      <c r="CL275" s="17"/>
      <c r="CM275" s="17"/>
      <c r="CN275" s="17"/>
      <c r="CO275" s="17"/>
      <c r="CP275" s="17"/>
      <c r="CQ275" s="17"/>
      <c r="CR275" s="17"/>
      <c r="CS275" s="17"/>
      <c r="CT275" s="17"/>
      <c r="CU275" s="17"/>
      <c r="CV275" s="17"/>
      <c r="CW275" s="17"/>
      <c r="CX275" s="17"/>
      <c r="CY275" s="17"/>
      <c r="CZ275" s="17"/>
      <c r="DA275" s="17"/>
      <c r="DB275" s="17"/>
      <c r="DC275" s="17"/>
      <c r="DD275" s="17"/>
      <c r="DE275" s="17"/>
      <c r="DF275" s="17"/>
      <c r="DG275" s="17"/>
      <c r="DH275" s="17"/>
      <c r="DI275" s="17"/>
      <c r="DJ275" s="17"/>
      <c r="DK275" s="17"/>
      <c r="DL275" s="17"/>
      <c r="DM275" s="17"/>
      <c r="DN275" s="17"/>
      <c r="DO275" s="17"/>
      <c r="DP275" s="17"/>
      <c r="DQ275" s="17"/>
      <c r="DR275" s="17"/>
      <c r="DS275" s="17"/>
      <c r="DT275" s="17"/>
      <c r="DU275" s="17"/>
      <c r="DV275" s="17"/>
      <c r="DW275" s="17"/>
      <c r="DX275" s="17"/>
      <c r="DY275" s="17"/>
      <c r="DZ275" s="17"/>
      <c r="EA275" s="17"/>
      <c r="EB275" s="17"/>
      <c r="EC275" s="17"/>
    </row>
    <row r="276" spans="1:133" x14ac:dyDescent="0.25">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c r="CE276" s="17"/>
      <c r="CF276" s="17"/>
      <c r="CG276" s="17"/>
      <c r="CH276" s="17"/>
      <c r="CI276" s="17"/>
      <c r="CJ276" s="17"/>
      <c r="CK276" s="17"/>
      <c r="CL276" s="17"/>
      <c r="CM276" s="17"/>
      <c r="CN276" s="17"/>
      <c r="CO276" s="17"/>
      <c r="CP276" s="17"/>
      <c r="CQ276" s="17"/>
      <c r="CR276" s="17"/>
      <c r="CS276" s="17"/>
      <c r="CT276" s="17"/>
      <c r="CU276" s="17"/>
      <c r="CV276" s="17"/>
      <c r="CW276" s="17"/>
      <c r="CX276" s="17"/>
      <c r="CY276" s="17"/>
      <c r="CZ276" s="17"/>
      <c r="DA276" s="17"/>
      <c r="DB276" s="17"/>
      <c r="DC276" s="17"/>
      <c r="DD276" s="17"/>
      <c r="DE276" s="17"/>
      <c r="DF276" s="17"/>
      <c r="DG276" s="17"/>
      <c r="DH276" s="17"/>
      <c r="DI276" s="17"/>
      <c r="DJ276" s="17"/>
      <c r="DK276" s="17"/>
      <c r="DL276" s="17"/>
      <c r="DM276" s="17"/>
      <c r="DN276" s="17"/>
      <c r="DO276" s="17"/>
      <c r="DP276" s="17"/>
      <c r="DQ276" s="17"/>
      <c r="DR276" s="17"/>
      <c r="DS276" s="17"/>
      <c r="DT276" s="17"/>
      <c r="DU276" s="17"/>
      <c r="DV276" s="17"/>
      <c r="DW276" s="17"/>
      <c r="DX276" s="17"/>
      <c r="DY276" s="17"/>
      <c r="DZ276" s="17"/>
      <c r="EA276" s="17"/>
      <c r="EB276" s="17"/>
      <c r="EC276" s="17"/>
    </row>
    <row r="277" spans="1:133" x14ac:dyDescent="0.25">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c r="BH277" s="17"/>
      <c r="BI277" s="17"/>
      <c r="BJ277" s="17"/>
      <c r="BK277" s="17"/>
      <c r="BL277" s="17"/>
      <c r="BM277" s="17"/>
      <c r="BN277" s="17"/>
      <c r="BO277" s="17"/>
      <c r="BP277" s="17"/>
      <c r="BQ277" s="17"/>
      <c r="BR277" s="17"/>
      <c r="BS277" s="17"/>
      <c r="BT277" s="17"/>
      <c r="BU277" s="17"/>
      <c r="BV277" s="17"/>
      <c r="BW277" s="17"/>
      <c r="BX277" s="17"/>
      <c r="BY277" s="17"/>
      <c r="BZ277" s="17"/>
      <c r="CA277" s="17"/>
      <c r="CB277" s="17"/>
      <c r="CC277" s="17"/>
      <c r="CD277" s="17"/>
      <c r="CE277" s="17"/>
      <c r="CF277" s="17"/>
      <c r="CG277" s="17"/>
      <c r="CH277" s="17"/>
      <c r="CI277" s="17"/>
      <c r="CJ277" s="17"/>
      <c r="CK277" s="17"/>
      <c r="CL277" s="17"/>
      <c r="CM277" s="17"/>
      <c r="CN277" s="17"/>
      <c r="CO277" s="17"/>
      <c r="CP277" s="17"/>
      <c r="CQ277" s="17"/>
      <c r="CR277" s="17"/>
      <c r="CS277" s="17"/>
      <c r="CT277" s="17"/>
      <c r="CU277" s="17"/>
      <c r="CV277" s="17"/>
      <c r="CW277" s="17"/>
      <c r="CX277" s="17"/>
      <c r="CY277" s="17"/>
      <c r="CZ277" s="17"/>
      <c r="DA277" s="17"/>
      <c r="DB277" s="17"/>
      <c r="DC277" s="17"/>
      <c r="DD277" s="17"/>
      <c r="DE277" s="17"/>
      <c r="DF277" s="17"/>
      <c r="DG277" s="17"/>
      <c r="DH277" s="17"/>
      <c r="DI277" s="17"/>
      <c r="DJ277" s="17"/>
      <c r="DK277" s="17"/>
      <c r="DL277" s="17"/>
      <c r="DM277" s="17"/>
      <c r="DN277" s="17"/>
      <c r="DO277" s="17"/>
      <c r="DP277" s="17"/>
      <c r="DQ277" s="17"/>
      <c r="DR277" s="17"/>
      <c r="DS277" s="17"/>
      <c r="DT277" s="17"/>
      <c r="DU277" s="17"/>
      <c r="DV277" s="17"/>
      <c r="DW277" s="17"/>
      <c r="DX277" s="17"/>
      <c r="DY277" s="17"/>
      <c r="DZ277" s="17"/>
      <c r="EA277" s="17"/>
      <c r="EB277" s="17"/>
      <c r="EC277" s="17"/>
    </row>
    <row r="278" spans="1:133" x14ac:dyDescent="0.25">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c r="BF278" s="17"/>
      <c r="BG278" s="17"/>
      <c r="BH278" s="17"/>
      <c r="BI278" s="17"/>
      <c r="BJ278" s="17"/>
      <c r="BK278" s="17"/>
      <c r="BL278" s="17"/>
      <c r="BM278" s="17"/>
      <c r="BN278" s="17"/>
      <c r="BO278" s="17"/>
      <c r="BP278" s="17"/>
      <c r="BQ278" s="17"/>
      <c r="BR278" s="17"/>
      <c r="BS278" s="17"/>
      <c r="BT278" s="17"/>
      <c r="BU278" s="17"/>
      <c r="BV278" s="17"/>
      <c r="BW278" s="17"/>
      <c r="BX278" s="17"/>
      <c r="BY278" s="17"/>
      <c r="BZ278" s="17"/>
      <c r="CA278" s="17"/>
      <c r="CB278" s="17"/>
      <c r="CC278" s="17"/>
      <c r="CD278" s="17"/>
      <c r="CE278" s="17"/>
      <c r="CF278" s="17"/>
      <c r="CG278" s="17"/>
      <c r="CH278" s="17"/>
      <c r="CI278" s="17"/>
      <c r="CJ278" s="17"/>
      <c r="CK278" s="17"/>
      <c r="CL278" s="17"/>
      <c r="CM278" s="17"/>
      <c r="CN278" s="17"/>
      <c r="CO278" s="17"/>
      <c r="CP278" s="17"/>
      <c r="CQ278" s="17"/>
      <c r="CR278" s="17"/>
      <c r="CS278" s="17"/>
      <c r="CT278" s="17"/>
      <c r="CU278" s="17"/>
      <c r="CV278" s="17"/>
      <c r="CW278" s="17"/>
      <c r="CX278" s="17"/>
      <c r="CY278" s="17"/>
      <c r="CZ278" s="17"/>
      <c r="DA278" s="17"/>
      <c r="DB278" s="17"/>
      <c r="DC278" s="17"/>
      <c r="DD278" s="17"/>
      <c r="DE278" s="17"/>
      <c r="DF278" s="17"/>
      <c r="DG278" s="17"/>
      <c r="DH278" s="17"/>
      <c r="DI278" s="17"/>
      <c r="DJ278" s="17"/>
      <c r="DK278" s="17"/>
      <c r="DL278" s="17"/>
      <c r="DM278" s="17"/>
      <c r="DN278" s="17"/>
      <c r="DO278" s="17"/>
      <c r="DP278" s="17"/>
      <c r="DQ278" s="17"/>
      <c r="DR278" s="17"/>
      <c r="DS278" s="17"/>
      <c r="DT278" s="17"/>
      <c r="DU278" s="17"/>
      <c r="DV278" s="17"/>
      <c r="DW278" s="17"/>
      <c r="DX278" s="17"/>
      <c r="DY278" s="17"/>
      <c r="DZ278" s="17"/>
      <c r="EA278" s="17"/>
      <c r="EB278" s="17"/>
      <c r="EC278" s="17"/>
    </row>
    <row r="279" spans="1:133" x14ac:dyDescent="0.25">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c r="BG279" s="17"/>
      <c r="BH279" s="17"/>
      <c r="BI279" s="17"/>
      <c r="BJ279" s="17"/>
      <c r="BK279" s="17"/>
      <c r="BL279" s="17"/>
      <c r="BM279" s="17"/>
      <c r="BN279" s="17"/>
      <c r="BO279" s="17"/>
      <c r="BP279" s="17"/>
      <c r="BQ279" s="17"/>
      <c r="BR279" s="17"/>
      <c r="BS279" s="17"/>
      <c r="BT279" s="17"/>
      <c r="BU279" s="17"/>
      <c r="BV279" s="17"/>
      <c r="BW279" s="17"/>
      <c r="BX279" s="17"/>
      <c r="BY279" s="17"/>
      <c r="BZ279" s="17"/>
      <c r="CA279" s="17"/>
      <c r="CB279" s="17"/>
      <c r="CC279" s="17"/>
      <c r="CD279" s="17"/>
      <c r="CE279" s="17"/>
      <c r="CF279" s="17"/>
      <c r="CG279" s="17"/>
      <c r="CH279" s="17"/>
      <c r="CI279" s="17"/>
      <c r="CJ279" s="17"/>
      <c r="CK279" s="17"/>
      <c r="CL279" s="17"/>
      <c r="CM279" s="17"/>
      <c r="CN279" s="17"/>
      <c r="CO279" s="17"/>
      <c r="CP279" s="17"/>
      <c r="CQ279" s="17"/>
      <c r="CR279" s="17"/>
      <c r="CS279" s="17"/>
      <c r="CT279" s="17"/>
      <c r="CU279" s="17"/>
      <c r="CV279" s="17"/>
      <c r="CW279" s="17"/>
      <c r="CX279" s="17"/>
      <c r="CY279" s="17"/>
      <c r="CZ279" s="17"/>
      <c r="DA279" s="17"/>
      <c r="DB279" s="17"/>
      <c r="DC279" s="17"/>
      <c r="DD279" s="17"/>
      <c r="DE279" s="17"/>
      <c r="DF279" s="17"/>
      <c r="DG279" s="17"/>
      <c r="DH279" s="17"/>
      <c r="DI279" s="17"/>
      <c r="DJ279" s="17"/>
      <c r="DK279" s="17"/>
      <c r="DL279" s="17"/>
      <c r="DM279" s="17"/>
      <c r="DN279" s="17"/>
      <c r="DO279" s="17"/>
      <c r="DP279" s="17"/>
      <c r="DQ279" s="17"/>
      <c r="DR279" s="17"/>
      <c r="DS279" s="17"/>
      <c r="DT279" s="17"/>
      <c r="DU279" s="17"/>
      <c r="DV279" s="17"/>
      <c r="DW279" s="17"/>
      <c r="DX279" s="17"/>
      <c r="DY279" s="17"/>
      <c r="DZ279" s="17"/>
      <c r="EA279" s="17"/>
      <c r="EB279" s="17"/>
      <c r="EC279" s="17"/>
    </row>
    <row r="280" spans="1:133" x14ac:dyDescent="0.25">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7"/>
      <c r="BU280" s="17"/>
      <c r="BV280" s="17"/>
      <c r="BW280" s="17"/>
      <c r="BX280" s="17"/>
      <c r="BY280" s="17"/>
      <c r="BZ280" s="17"/>
      <c r="CA280" s="17"/>
      <c r="CB280" s="17"/>
      <c r="CC280" s="17"/>
      <c r="CD280" s="17"/>
      <c r="CE280" s="17"/>
      <c r="CF280" s="17"/>
      <c r="CG280" s="17"/>
      <c r="CH280" s="17"/>
      <c r="CI280" s="17"/>
      <c r="CJ280" s="17"/>
      <c r="CK280" s="17"/>
      <c r="CL280" s="17"/>
      <c r="CM280" s="17"/>
      <c r="CN280" s="17"/>
      <c r="CO280" s="17"/>
      <c r="CP280" s="17"/>
      <c r="CQ280" s="17"/>
      <c r="CR280" s="17"/>
      <c r="CS280" s="17"/>
      <c r="CT280" s="17"/>
      <c r="CU280" s="17"/>
      <c r="CV280" s="17"/>
      <c r="CW280" s="17"/>
      <c r="CX280" s="17"/>
      <c r="CY280" s="17"/>
      <c r="CZ280" s="17"/>
      <c r="DA280" s="17"/>
      <c r="DB280" s="17"/>
      <c r="DC280" s="17"/>
      <c r="DD280" s="17"/>
      <c r="DE280" s="17"/>
      <c r="DF280" s="17"/>
      <c r="DG280" s="17"/>
      <c r="DH280" s="17"/>
      <c r="DI280" s="17"/>
      <c r="DJ280" s="17"/>
      <c r="DK280" s="17"/>
      <c r="DL280" s="17"/>
      <c r="DM280" s="17"/>
      <c r="DN280" s="17"/>
      <c r="DO280" s="17"/>
      <c r="DP280" s="17"/>
      <c r="DQ280" s="17"/>
      <c r="DR280" s="17"/>
      <c r="DS280" s="17"/>
      <c r="DT280" s="17"/>
      <c r="DU280" s="17"/>
      <c r="DV280" s="17"/>
      <c r="DW280" s="17"/>
      <c r="DX280" s="17"/>
      <c r="DY280" s="17"/>
      <c r="DZ280" s="17"/>
      <c r="EA280" s="17"/>
      <c r="EB280" s="17"/>
      <c r="EC280" s="17"/>
    </row>
    <row r="281" spans="1:133" x14ac:dyDescent="0.25">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17"/>
      <c r="CF281" s="17"/>
      <c r="CG281" s="17"/>
      <c r="CH281" s="17"/>
      <c r="CI281" s="17"/>
      <c r="CJ281" s="17"/>
      <c r="CK281" s="17"/>
      <c r="CL281" s="17"/>
      <c r="CM281" s="17"/>
      <c r="CN281" s="17"/>
      <c r="CO281" s="17"/>
      <c r="CP281" s="17"/>
      <c r="CQ281" s="17"/>
      <c r="CR281" s="17"/>
      <c r="CS281" s="17"/>
      <c r="CT281" s="17"/>
      <c r="CU281" s="17"/>
      <c r="CV281" s="17"/>
      <c r="CW281" s="17"/>
      <c r="CX281" s="17"/>
      <c r="CY281" s="17"/>
      <c r="CZ281" s="17"/>
      <c r="DA281" s="17"/>
      <c r="DB281" s="17"/>
      <c r="DC281" s="17"/>
      <c r="DD281" s="17"/>
      <c r="DE281" s="17"/>
      <c r="DF281" s="17"/>
      <c r="DG281" s="17"/>
      <c r="DH281" s="17"/>
      <c r="DI281" s="17"/>
      <c r="DJ281" s="17"/>
      <c r="DK281" s="17"/>
      <c r="DL281" s="17"/>
      <c r="DM281" s="17"/>
      <c r="DN281" s="17"/>
      <c r="DO281" s="17"/>
      <c r="DP281" s="17"/>
      <c r="DQ281" s="17"/>
      <c r="DR281" s="17"/>
      <c r="DS281" s="17"/>
      <c r="DT281" s="17"/>
      <c r="DU281" s="17"/>
      <c r="DV281" s="17"/>
      <c r="DW281" s="17"/>
      <c r="DX281" s="17"/>
      <c r="DY281" s="17"/>
      <c r="DZ281" s="17"/>
      <c r="EA281" s="17"/>
      <c r="EB281" s="17"/>
      <c r="EC281" s="17"/>
    </row>
    <row r="282" spans="1:133" x14ac:dyDescent="0.25">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c r="BU282" s="17"/>
      <c r="BV282" s="17"/>
      <c r="BW282" s="17"/>
      <c r="BX282" s="17"/>
      <c r="BY282" s="17"/>
      <c r="BZ282" s="17"/>
      <c r="CA282" s="17"/>
      <c r="CB282" s="17"/>
      <c r="CC282" s="17"/>
      <c r="CD282" s="17"/>
      <c r="CE282" s="17"/>
      <c r="CF282" s="17"/>
      <c r="CG282" s="17"/>
      <c r="CH282" s="17"/>
      <c r="CI282" s="17"/>
      <c r="CJ282" s="17"/>
      <c r="CK282" s="17"/>
      <c r="CL282" s="17"/>
      <c r="CM282" s="17"/>
      <c r="CN282" s="17"/>
      <c r="CO282" s="17"/>
      <c r="CP282" s="17"/>
      <c r="CQ282" s="17"/>
      <c r="CR282" s="17"/>
      <c r="CS282" s="17"/>
      <c r="CT282" s="17"/>
      <c r="CU282" s="17"/>
      <c r="CV282" s="17"/>
      <c r="CW282" s="17"/>
      <c r="CX282" s="17"/>
      <c r="CY282" s="17"/>
      <c r="CZ282" s="17"/>
      <c r="DA282" s="17"/>
      <c r="DB282" s="17"/>
      <c r="DC282" s="17"/>
      <c r="DD282" s="17"/>
      <c r="DE282" s="17"/>
      <c r="DF282" s="17"/>
      <c r="DG282" s="17"/>
      <c r="DH282" s="17"/>
      <c r="DI282" s="17"/>
      <c r="DJ282" s="17"/>
      <c r="DK282" s="17"/>
      <c r="DL282" s="17"/>
      <c r="DM282" s="17"/>
      <c r="DN282" s="17"/>
      <c r="DO282" s="17"/>
      <c r="DP282" s="17"/>
      <c r="DQ282" s="17"/>
      <c r="DR282" s="17"/>
      <c r="DS282" s="17"/>
      <c r="DT282" s="17"/>
      <c r="DU282" s="17"/>
      <c r="DV282" s="17"/>
      <c r="DW282" s="17"/>
      <c r="DX282" s="17"/>
      <c r="DY282" s="17"/>
      <c r="DZ282" s="17"/>
      <c r="EA282" s="17"/>
      <c r="EB282" s="17"/>
      <c r="EC282" s="17"/>
    </row>
    <row r="283" spans="1:133" x14ac:dyDescent="0.25">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c r="BU283" s="17"/>
      <c r="BV283" s="17"/>
      <c r="BW283" s="17"/>
      <c r="BX283" s="17"/>
      <c r="BY283" s="17"/>
      <c r="BZ283" s="17"/>
      <c r="CA283" s="17"/>
      <c r="CB283" s="17"/>
      <c r="CC283" s="17"/>
      <c r="CD283" s="17"/>
      <c r="CE283" s="17"/>
      <c r="CF283" s="17"/>
      <c r="CG283" s="17"/>
      <c r="CH283" s="17"/>
      <c r="CI283" s="17"/>
      <c r="CJ283" s="17"/>
      <c r="CK283" s="17"/>
      <c r="CL283" s="17"/>
      <c r="CM283" s="17"/>
      <c r="CN283" s="17"/>
      <c r="CO283" s="17"/>
      <c r="CP283" s="17"/>
      <c r="CQ283" s="17"/>
      <c r="CR283" s="17"/>
      <c r="CS283" s="17"/>
      <c r="CT283" s="17"/>
      <c r="CU283" s="17"/>
      <c r="CV283" s="17"/>
      <c r="CW283" s="17"/>
      <c r="CX283" s="17"/>
      <c r="CY283" s="17"/>
      <c r="CZ283" s="17"/>
      <c r="DA283" s="17"/>
      <c r="DB283" s="17"/>
      <c r="DC283" s="17"/>
      <c r="DD283" s="17"/>
      <c r="DE283" s="17"/>
      <c r="DF283" s="17"/>
      <c r="DG283" s="17"/>
      <c r="DH283" s="17"/>
      <c r="DI283" s="17"/>
      <c r="DJ283" s="17"/>
      <c r="DK283" s="17"/>
      <c r="DL283" s="17"/>
      <c r="DM283" s="17"/>
      <c r="DN283" s="17"/>
      <c r="DO283" s="17"/>
      <c r="DP283" s="17"/>
      <c r="DQ283" s="17"/>
      <c r="DR283" s="17"/>
      <c r="DS283" s="17"/>
      <c r="DT283" s="17"/>
      <c r="DU283" s="17"/>
      <c r="DV283" s="17"/>
      <c r="DW283" s="17"/>
      <c r="DX283" s="17"/>
      <c r="DY283" s="17"/>
      <c r="DZ283" s="17"/>
      <c r="EA283" s="17"/>
      <c r="EB283" s="17"/>
      <c r="EC283" s="17"/>
    </row>
    <row r="284" spans="1:133" x14ac:dyDescent="0.25">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c r="CE284" s="17"/>
      <c r="CF284" s="17"/>
      <c r="CG284" s="17"/>
      <c r="CH284" s="17"/>
      <c r="CI284" s="17"/>
      <c r="CJ284" s="17"/>
      <c r="CK284" s="17"/>
      <c r="CL284" s="17"/>
      <c r="CM284" s="17"/>
      <c r="CN284" s="17"/>
      <c r="CO284" s="17"/>
      <c r="CP284" s="17"/>
      <c r="CQ284" s="17"/>
      <c r="CR284" s="17"/>
      <c r="CS284" s="17"/>
      <c r="CT284" s="17"/>
      <c r="CU284" s="17"/>
      <c r="CV284" s="17"/>
      <c r="CW284" s="17"/>
      <c r="CX284" s="17"/>
      <c r="CY284" s="17"/>
      <c r="CZ284" s="17"/>
      <c r="DA284" s="17"/>
      <c r="DB284" s="17"/>
      <c r="DC284" s="17"/>
      <c r="DD284" s="17"/>
      <c r="DE284" s="17"/>
      <c r="DF284" s="17"/>
      <c r="DG284" s="17"/>
      <c r="DH284" s="17"/>
      <c r="DI284" s="17"/>
      <c r="DJ284" s="17"/>
      <c r="DK284" s="17"/>
      <c r="DL284" s="17"/>
      <c r="DM284" s="17"/>
      <c r="DN284" s="17"/>
      <c r="DO284" s="17"/>
      <c r="DP284" s="17"/>
      <c r="DQ284" s="17"/>
      <c r="DR284" s="17"/>
      <c r="DS284" s="17"/>
      <c r="DT284" s="17"/>
      <c r="DU284" s="17"/>
      <c r="DV284" s="17"/>
      <c r="DW284" s="17"/>
      <c r="DX284" s="17"/>
      <c r="DY284" s="17"/>
      <c r="DZ284" s="17"/>
      <c r="EA284" s="17"/>
      <c r="EB284" s="17"/>
      <c r="EC284" s="17"/>
    </row>
    <row r="285" spans="1:133" x14ac:dyDescent="0.2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7"/>
      <c r="BU285" s="17"/>
      <c r="BV285" s="17"/>
      <c r="BW285" s="17"/>
      <c r="BX285" s="17"/>
      <c r="BY285" s="17"/>
      <c r="BZ285" s="17"/>
      <c r="CA285" s="17"/>
      <c r="CB285" s="17"/>
      <c r="CC285" s="17"/>
      <c r="CD285" s="17"/>
      <c r="CE285" s="17"/>
      <c r="CF285" s="17"/>
      <c r="CG285" s="17"/>
      <c r="CH285" s="17"/>
      <c r="CI285" s="17"/>
      <c r="CJ285" s="17"/>
      <c r="CK285" s="17"/>
      <c r="CL285" s="17"/>
      <c r="CM285" s="17"/>
      <c r="CN285" s="17"/>
      <c r="CO285" s="17"/>
      <c r="CP285" s="17"/>
      <c r="CQ285" s="17"/>
      <c r="CR285" s="17"/>
      <c r="CS285" s="17"/>
      <c r="CT285" s="17"/>
      <c r="CU285" s="17"/>
      <c r="CV285" s="17"/>
      <c r="CW285" s="17"/>
      <c r="CX285" s="17"/>
      <c r="CY285" s="17"/>
      <c r="CZ285" s="17"/>
      <c r="DA285" s="17"/>
      <c r="DB285" s="17"/>
      <c r="DC285" s="17"/>
      <c r="DD285" s="17"/>
      <c r="DE285" s="17"/>
      <c r="DF285" s="17"/>
      <c r="DG285" s="17"/>
      <c r="DH285" s="17"/>
      <c r="DI285" s="17"/>
      <c r="DJ285" s="17"/>
      <c r="DK285" s="17"/>
      <c r="DL285" s="17"/>
      <c r="DM285" s="17"/>
      <c r="DN285" s="17"/>
      <c r="DO285" s="17"/>
      <c r="DP285" s="17"/>
      <c r="DQ285" s="17"/>
      <c r="DR285" s="17"/>
      <c r="DS285" s="17"/>
      <c r="DT285" s="17"/>
      <c r="DU285" s="17"/>
      <c r="DV285" s="17"/>
      <c r="DW285" s="17"/>
      <c r="DX285" s="17"/>
      <c r="DY285" s="17"/>
      <c r="DZ285" s="17"/>
      <c r="EA285" s="17"/>
      <c r="EB285" s="17"/>
      <c r="EC285" s="17"/>
    </row>
    <row r="286" spans="1:133" x14ac:dyDescent="0.25">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c r="BU286" s="17"/>
      <c r="BV286" s="17"/>
      <c r="BW286" s="17"/>
      <c r="BX286" s="17"/>
      <c r="BY286" s="17"/>
      <c r="BZ286" s="17"/>
      <c r="CA286" s="17"/>
      <c r="CB286" s="17"/>
      <c r="CC286" s="17"/>
      <c r="CD286" s="17"/>
      <c r="CE286" s="17"/>
      <c r="CF286" s="17"/>
      <c r="CG286" s="17"/>
      <c r="CH286" s="17"/>
      <c r="CI286" s="17"/>
      <c r="CJ286" s="17"/>
      <c r="CK286" s="17"/>
      <c r="CL286" s="17"/>
      <c r="CM286" s="17"/>
      <c r="CN286" s="17"/>
      <c r="CO286" s="17"/>
      <c r="CP286" s="17"/>
      <c r="CQ286" s="17"/>
      <c r="CR286" s="17"/>
      <c r="CS286" s="17"/>
      <c r="CT286" s="17"/>
      <c r="CU286" s="17"/>
      <c r="CV286" s="17"/>
      <c r="CW286" s="17"/>
      <c r="CX286" s="17"/>
      <c r="CY286" s="17"/>
      <c r="CZ286" s="17"/>
      <c r="DA286" s="17"/>
      <c r="DB286" s="17"/>
      <c r="DC286" s="17"/>
      <c r="DD286" s="17"/>
      <c r="DE286" s="17"/>
      <c r="DF286" s="17"/>
      <c r="DG286" s="17"/>
      <c r="DH286" s="17"/>
      <c r="DI286" s="17"/>
      <c r="DJ286" s="17"/>
      <c r="DK286" s="17"/>
      <c r="DL286" s="17"/>
      <c r="DM286" s="17"/>
      <c r="DN286" s="17"/>
      <c r="DO286" s="17"/>
      <c r="DP286" s="17"/>
      <c r="DQ286" s="17"/>
      <c r="DR286" s="17"/>
      <c r="DS286" s="17"/>
      <c r="DT286" s="17"/>
      <c r="DU286" s="17"/>
      <c r="DV286" s="17"/>
      <c r="DW286" s="17"/>
      <c r="DX286" s="17"/>
      <c r="DY286" s="17"/>
      <c r="DZ286" s="17"/>
      <c r="EA286" s="17"/>
      <c r="EB286" s="17"/>
      <c r="EC286" s="17"/>
    </row>
    <row r="287" spans="1:133" x14ac:dyDescent="0.25">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c r="BU287" s="17"/>
      <c r="BV287" s="17"/>
      <c r="BW287" s="17"/>
      <c r="BX287" s="17"/>
      <c r="BY287" s="17"/>
      <c r="BZ287" s="17"/>
      <c r="CA287" s="17"/>
      <c r="CB287" s="17"/>
      <c r="CC287" s="17"/>
      <c r="CD287" s="17"/>
      <c r="CE287" s="17"/>
      <c r="CF287" s="17"/>
      <c r="CG287" s="17"/>
      <c r="CH287" s="17"/>
      <c r="CI287" s="17"/>
      <c r="CJ287" s="17"/>
      <c r="CK287" s="17"/>
      <c r="CL287" s="17"/>
      <c r="CM287" s="17"/>
      <c r="CN287" s="17"/>
      <c r="CO287" s="17"/>
      <c r="CP287" s="17"/>
      <c r="CQ287" s="17"/>
      <c r="CR287" s="17"/>
      <c r="CS287" s="17"/>
      <c r="CT287" s="17"/>
      <c r="CU287" s="17"/>
      <c r="CV287" s="17"/>
      <c r="CW287" s="17"/>
      <c r="CX287" s="17"/>
      <c r="CY287" s="17"/>
      <c r="CZ287" s="17"/>
      <c r="DA287" s="17"/>
      <c r="DB287" s="17"/>
      <c r="DC287" s="17"/>
      <c r="DD287" s="17"/>
      <c r="DE287" s="17"/>
      <c r="DF287" s="17"/>
      <c r="DG287" s="17"/>
      <c r="DH287" s="17"/>
      <c r="DI287" s="17"/>
      <c r="DJ287" s="17"/>
      <c r="DK287" s="17"/>
      <c r="DL287" s="17"/>
      <c r="DM287" s="17"/>
      <c r="DN287" s="17"/>
      <c r="DO287" s="17"/>
      <c r="DP287" s="17"/>
      <c r="DQ287" s="17"/>
      <c r="DR287" s="17"/>
      <c r="DS287" s="17"/>
      <c r="DT287" s="17"/>
      <c r="DU287" s="17"/>
      <c r="DV287" s="17"/>
      <c r="DW287" s="17"/>
      <c r="DX287" s="17"/>
      <c r="DY287" s="17"/>
      <c r="DZ287" s="17"/>
      <c r="EA287" s="17"/>
      <c r="EB287" s="17"/>
      <c r="EC287" s="17"/>
    </row>
    <row r="288" spans="1:133" x14ac:dyDescent="0.25">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c r="BU288" s="17"/>
      <c r="BV288" s="17"/>
      <c r="BW288" s="17"/>
      <c r="BX288" s="17"/>
      <c r="BY288" s="17"/>
      <c r="BZ288" s="17"/>
      <c r="CA288" s="17"/>
      <c r="CB288" s="17"/>
      <c r="CC288" s="17"/>
      <c r="CD288" s="17"/>
      <c r="CE288" s="17"/>
      <c r="CF288" s="17"/>
      <c r="CG288" s="17"/>
      <c r="CH288" s="17"/>
      <c r="CI288" s="17"/>
      <c r="CJ288" s="17"/>
      <c r="CK288" s="17"/>
      <c r="CL288" s="17"/>
      <c r="CM288" s="17"/>
      <c r="CN288" s="17"/>
      <c r="CO288" s="17"/>
      <c r="CP288" s="17"/>
      <c r="CQ288" s="17"/>
      <c r="CR288" s="17"/>
      <c r="CS288" s="17"/>
      <c r="CT288" s="17"/>
      <c r="CU288" s="17"/>
      <c r="CV288" s="17"/>
      <c r="CW288" s="17"/>
      <c r="CX288" s="17"/>
      <c r="CY288" s="17"/>
      <c r="CZ288" s="17"/>
      <c r="DA288" s="17"/>
      <c r="DB288" s="17"/>
      <c r="DC288" s="17"/>
      <c r="DD288" s="17"/>
      <c r="DE288" s="17"/>
      <c r="DF288" s="17"/>
      <c r="DG288" s="17"/>
      <c r="DH288" s="17"/>
      <c r="DI288" s="17"/>
      <c r="DJ288" s="17"/>
      <c r="DK288" s="17"/>
      <c r="DL288" s="17"/>
      <c r="DM288" s="17"/>
      <c r="DN288" s="17"/>
      <c r="DO288" s="17"/>
      <c r="DP288" s="17"/>
      <c r="DQ288" s="17"/>
      <c r="DR288" s="17"/>
      <c r="DS288" s="17"/>
      <c r="DT288" s="17"/>
      <c r="DU288" s="17"/>
      <c r="DV288" s="17"/>
      <c r="DW288" s="17"/>
      <c r="DX288" s="17"/>
      <c r="DY288" s="17"/>
      <c r="DZ288" s="17"/>
      <c r="EA288" s="17"/>
      <c r="EB288" s="17"/>
      <c r="EC288" s="17"/>
    </row>
    <row r="289" spans="1:133" x14ac:dyDescent="0.25">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c r="BV289" s="17"/>
      <c r="BW289" s="17"/>
      <c r="BX289" s="17"/>
      <c r="BY289" s="17"/>
      <c r="BZ289" s="17"/>
      <c r="CA289" s="17"/>
      <c r="CB289" s="17"/>
      <c r="CC289" s="17"/>
      <c r="CD289" s="17"/>
      <c r="CE289" s="17"/>
      <c r="CF289" s="17"/>
      <c r="CG289" s="17"/>
      <c r="CH289" s="17"/>
      <c r="CI289" s="17"/>
      <c r="CJ289" s="17"/>
      <c r="CK289" s="17"/>
      <c r="CL289" s="17"/>
      <c r="CM289" s="17"/>
      <c r="CN289" s="17"/>
      <c r="CO289" s="17"/>
      <c r="CP289" s="17"/>
      <c r="CQ289" s="17"/>
      <c r="CR289" s="17"/>
      <c r="CS289" s="17"/>
      <c r="CT289" s="17"/>
      <c r="CU289" s="17"/>
      <c r="CV289" s="17"/>
      <c r="CW289" s="17"/>
      <c r="CX289" s="17"/>
      <c r="CY289" s="17"/>
      <c r="CZ289" s="17"/>
      <c r="DA289" s="17"/>
      <c r="DB289" s="17"/>
      <c r="DC289" s="17"/>
      <c r="DD289" s="17"/>
      <c r="DE289" s="17"/>
      <c r="DF289" s="17"/>
      <c r="DG289" s="17"/>
      <c r="DH289" s="17"/>
      <c r="DI289" s="17"/>
      <c r="DJ289" s="17"/>
      <c r="DK289" s="17"/>
      <c r="DL289" s="17"/>
      <c r="DM289" s="17"/>
      <c r="DN289" s="17"/>
      <c r="DO289" s="17"/>
      <c r="DP289" s="17"/>
      <c r="DQ289" s="17"/>
      <c r="DR289" s="17"/>
      <c r="DS289" s="17"/>
      <c r="DT289" s="17"/>
      <c r="DU289" s="17"/>
      <c r="DV289" s="17"/>
      <c r="DW289" s="17"/>
      <c r="DX289" s="17"/>
      <c r="DY289" s="17"/>
      <c r="DZ289" s="17"/>
      <c r="EA289" s="17"/>
      <c r="EB289" s="17"/>
      <c r="EC289" s="17"/>
    </row>
    <row r="290" spans="1:133" x14ac:dyDescent="0.25">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7"/>
      <c r="BU290" s="17"/>
      <c r="BV290" s="17"/>
      <c r="BW290" s="17"/>
      <c r="BX290" s="17"/>
      <c r="BY290" s="17"/>
      <c r="BZ290" s="17"/>
      <c r="CA290" s="17"/>
      <c r="CB290" s="17"/>
      <c r="CC290" s="17"/>
      <c r="CD290" s="17"/>
      <c r="CE290" s="17"/>
      <c r="CF290" s="17"/>
      <c r="CG290" s="17"/>
      <c r="CH290" s="17"/>
      <c r="CI290" s="17"/>
      <c r="CJ290" s="17"/>
      <c r="CK290" s="17"/>
      <c r="CL290" s="17"/>
      <c r="CM290" s="17"/>
      <c r="CN290" s="17"/>
      <c r="CO290" s="17"/>
      <c r="CP290" s="17"/>
      <c r="CQ290" s="17"/>
      <c r="CR290" s="17"/>
      <c r="CS290" s="17"/>
      <c r="CT290" s="17"/>
      <c r="CU290" s="17"/>
      <c r="CV290" s="17"/>
      <c r="CW290" s="17"/>
      <c r="CX290" s="17"/>
      <c r="CY290" s="17"/>
      <c r="CZ290" s="17"/>
      <c r="DA290" s="17"/>
      <c r="DB290" s="17"/>
      <c r="DC290" s="17"/>
      <c r="DD290" s="17"/>
      <c r="DE290" s="17"/>
      <c r="DF290" s="17"/>
      <c r="DG290" s="17"/>
      <c r="DH290" s="17"/>
      <c r="DI290" s="17"/>
      <c r="DJ290" s="17"/>
      <c r="DK290" s="17"/>
      <c r="DL290" s="17"/>
      <c r="DM290" s="17"/>
      <c r="DN290" s="17"/>
      <c r="DO290" s="17"/>
      <c r="DP290" s="17"/>
      <c r="DQ290" s="17"/>
      <c r="DR290" s="17"/>
      <c r="DS290" s="17"/>
      <c r="DT290" s="17"/>
      <c r="DU290" s="17"/>
      <c r="DV290" s="17"/>
      <c r="DW290" s="17"/>
      <c r="DX290" s="17"/>
      <c r="DY290" s="17"/>
      <c r="DZ290" s="17"/>
      <c r="EA290" s="17"/>
      <c r="EB290" s="17"/>
      <c r="EC290" s="17"/>
    </row>
    <row r="291" spans="1:133" x14ac:dyDescent="0.25">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c r="BU291" s="17"/>
      <c r="BV291" s="17"/>
      <c r="BW291" s="17"/>
      <c r="BX291" s="17"/>
      <c r="BY291" s="17"/>
      <c r="BZ291" s="17"/>
      <c r="CA291" s="17"/>
      <c r="CB291" s="17"/>
      <c r="CC291" s="17"/>
      <c r="CD291" s="17"/>
      <c r="CE291" s="17"/>
      <c r="CF291" s="17"/>
      <c r="CG291" s="17"/>
      <c r="CH291" s="17"/>
      <c r="CI291" s="17"/>
      <c r="CJ291" s="17"/>
      <c r="CK291" s="17"/>
      <c r="CL291" s="17"/>
      <c r="CM291" s="17"/>
      <c r="CN291" s="17"/>
      <c r="CO291" s="17"/>
      <c r="CP291" s="17"/>
      <c r="CQ291" s="17"/>
      <c r="CR291" s="17"/>
      <c r="CS291" s="17"/>
      <c r="CT291" s="17"/>
      <c r="CU291" s="17"/>
      <c r="CV291" s="17"/>
      <c r="CW291" s="17"/>
      <c r="CX291" s="17"/>
      <c r="CY291" s="17"/>
      <c r="CZ291" s="17"/>
      <c r="DA291" s="17"/>
      <c r="DB291" s="17"/>
      <c r="DC291" s="17"/>
      <c r="DD291" s="17"/>
      <c r="DE291" s="17"/>
      <c r="DF291" s="17"/>
      <c r="DG291" s="17"/>
      <c r="DH291" s="17"/>
      <c r="DI291" s="17"/>
      <c r="DJ291" s="17"/>
      <c r="DK291" s="17"/>
      <c r="DL291" s="17"/>
      <c r="DM291" s="17"/>
      <c r="DN291" s="17"/>
      <c r="DO291" s="17"/>
      <c r="DP291" s="17"/>
      <c r="DQ291" s="17"/>
      <c r="DR291" s="17"/>
      <c r="DS291" s="17"/>
      <c r="DT291" s="17"/>
      <c r="DU291" s="17"/>
      <c r="DV291" s="17"/>
      <c r="DW291" s="17"/>
      <c r="DX291" s="17"/>
      <c r="DY291" s="17"/>
      <c r="DZ291" s="17"/>
      <c r="EA291" s="17"/>
      <c r="EB291" s="17"/>
      <c r="EC291" s="17"/>
    </row>
    <row r="292" spans="1:133" x14ac:dyDescent="0.25">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c r="BF292" s="17"/>
      <c r="BG292" s="17"/>
      <c r="BH292" s="17"/>
      <c r="BI292" s="17"/>
      <c r="BJ292" s="17"/>
      <c r="BK292" s="17"/>
      <c r="BL292" s="17"/>
      <c r="BM292" s="17"/>
      <c r="BN292" s="17"/>
      <c r="BO292" s="17"/>
      <c r="BP292" s="17"/>
      <c r="BQ292" s="17"/>
      <c r="BR292" s="17"/>
      <c r="BS292" s="17"/>
      <c r="BT292" s="17"/>
      <c r="BU292" s="17"/>
      <c r="BV292" s="17"/>
      <c r="BW292" s="17"/>
      <c r="BX292" s="17"/>
      <c r="BY292" s="17"/>
      <c r="BZ292" s="17"/>
      <c r="CA292" s="17"/>
      <c r="CB292" s="17"/>
      <c r="CC292" s="17"/>
      <c r="CD292" s="17"/>
      <c r="CE292" s="17"/>
      <c r="CF292" s="17"/>
      <c r="CG292" s="17"/>
      <c r="CH292" s="17"/>
      <c r="CI292" s="17"/>
      <c r="CJ292" s="17"/>
      <c r="CK292" s="17"/>
      <c r="CL292" s="17"/>
      <c r="CM292" s="17"/>
      <c r="CN292" s="17"/>
      <c r="CO292" s="17"/>
      <c r="CP292" s="17"/>
      <c r="CQ292" s="17"/>
      <c r="CR292" s="17"/>
      <c r="CS292" s="17"/>
      <c r="CT292" s="17"/>
      <c r="CU292" s="17"/>
      <c r="CV292" s="17"/>
      <c r="CW292" s="17"/>
      <c r="CX292" s="17"/>
      <c r="CY292" s="17"/>
      <c r="CZ292" s="17"/>
      <c r="DA292" s="17"/>
      <c r="DB292" s="17"/>
      <c r="DC292" s="17"/>
      <c r="DD292" s="17"/>
      <c r="DE292" s="17"/>
      <c r="DF292" s="17"/>
      <c r="DG292" s="17"/>
      <c r="DH292" s="17"/>
      <c r="DI292" s="17"/>
      <c r="DJ292" s="17"/>
      <c r="DK292" s="17"/>
      <c r="DL292" s="17"/>
      <c r="DM292" s="17"/>
      <c r="DN292" s="17"/>
      <c r="DO292" s="17"/>
      <c r="DP292" s="17"/>
      <c r="DQ292" s="17"/>
      <c r="DR292" s="17"/>
      <c r="DS292" s="17"/>
      <c r="DT292" s="17"/>
      <c r="DU292" s="17"/>
      <c r="DV292" s="17"/>
      <c r="DW292" s="17"/>
      <c r="DX292" s="17"/>
      <c r="DY292" s="17"/>
      <c r="DZ292" s="17"/>
      <c r="EA292" s="17"/>
      <c r="EB292" s="17"/>
      <c r="EC292" s="17"/>
    </row>
    <row r="293" spans="1:133" x14ac:dyDescent="0.25">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c r="BH293" s="17"/>
      <c r="BI293" s="17"/>
      <c r="BJ293" s="17"/>
      <c r="BK293" s="17"/>
      <c r="BL293" s="17"/>
      <c r="BM293" s="17"/>
      <c r="BN293" s="17"/>
      <c r="BO293" s="17"/>
      <c r="BP293" s="17"/>
      <c r="BQ293" s="17"/>
      <c r="BR293" s="17"/>
      <c r="BS293" s="17"/>
      <c r="BT293" s="17"/>
      <c r="BU293" s="17"/>
      <c r="BV293" s="17"/>
      <c r="BW293" s="17"/>
      <c r="BX293" s="17"/>
      <c r="BY293" s="17"/>
      <c r="BZ293" s="17"/>
      <c r="CA293" s="17"/>
      <c r="CB293" s="17"/>
      <c r="CC293" s="17"/>
      <c r="CD293" s="17"/>
      <c r="CE293" s="17"/>
      <c r="CF293" s="17"/>
      <c r="CG293" s="17"/>
      <c r="CH293" s="17"/>
      <c r="CI293" s="17"/>
      <c r="CJ293" s="17"/>
      <c r="CK293" s="17"/>
      <c r="CL293" s="17"/>
      <c r="CM293" s="17"/>
      <c r="CN293" s="17"/>
      <c r="CO293" s="17"/>
      <c r="CP293" s="17"/>
      <c r="CQ293" s="17"/>
      <c r="CR293" s="17"/>
      <c r="CS293" s="17"/>
      <c r="CT293" s="17"/>
      <c r="CU293" s="17"/>
      <c r="CV293" s="17"/>
      <c r="CW293" s="17"/>
      <c r="CX293" s="17"/>
      <c r="CY293" s="17"/>
      <c r="CZ293" s="17"/>
      <c r="DA293" s="17"/>
      <c r="DB293" s="17"/>
      <c r="DC293" s="17"/>
      <c r="DD293" s="17"/>
      <c r="DE293" s="17"/>
      <c r="DF293" s="17"/>
      <c r="DG293" s="17"/>
      <c r="DH293" s="17"/>
      <c r="DI293" s="17"/>
      <c r="DJ293" s="17"/>
      <c r="DK293" s="17"/>
      <c r="DL293" s="17"/>
      <c r="DM293" s="17"/>
      <c r="DN293" s="17"/>
      <c r="DO293" s="17"/>
      <c r="DP293" s="17"/>
      <c r="DQ293" s="17"/>
      <c r="DR293" s="17"/>
      <c r="DS293" s="17"/>
      <c r="DT293" s="17"/>
      <c r="DU293" s="17"/>
      <c r="DV293" s="17"/>
      <c r="DW293" s="17"/>
      <c r="DX293" s="17"/>
      <c r="DY293" s="17"/>
      <c r="DZ293" s="17"/>
      <c r="EA293" s="17"/>
      <c r="EB293" s="17"/>
      <c r="EC293" s="17"/>
    </row>
    <row r="294" spans="1:133" x14ac:dyDescent="0.25">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c r="BF294" s="17"/>
      <c r="BG294" s="17"/>
      <c r="BH294" s="17"/>
      <c r="BI294" s="17"/>
      <c r="BJ294" s="17"/>
      <c r="BK294" s="17"/>
      <c r="BL294" s="17"/>
      <c r="BM294" s="17"/>
      <c r="BN294" s="17"/>
      <c r="BO294" s="17"/>
      <c r="BP294" s="17"/>
      <c r="BQ294" s="17"/>
      <c r="BR294" s="17"/>
      <c r="BS294" s="17"/>
      <c r="BT294" s="17"/>
      <c r="BU294" s="17"/>
      <c r="BV294" s="17"/>
      <c r="BW294" s="17"/>
      <c r="BX294" s="17"/>
      <c r="BY294" s="17"/>
      <c r="BZ294" s="17"/>
      <c r="CA294" s="17"/>
      <c r="CB294" s="17"/>
      <c r="CC294" s="17"/>
      <c r="CD294" s="17"/>
      <c r="CE294" s="17"/>
      <c r="CF294" s="17"/>
      <c r="CG294" s="17"/>
      <c r="CH294" s="17"/>
      <c r="CI294" s="17"/>
      <c r="CJ294" s="17"/>
      <c r="CK294" s="17"/>
      <c r="CL294" s="17"/>
      <c r="CM294" s="17"/>
      <c r="CN294" s="17"/>
      <c r="CO294" s="17"/>
      <c r="CP294" s="17"/>
      <c r="CQ294" s="17"/>
      <c r="CR294" s="17"/>
      <c r="CS294" s="17"/>
      <c r="CT294" s="17"/>
      <c r="CU294" s="17"/>
      <c r="CV294" s="17"/>
      <c r="CW294" s="17"/>
      <c r="CX294" s="17"/>
      <c r="CY294" s="17"/>
      <c r="CZ294" s="17"/>
      <c r="DA294" s="17"/>
      <c r="DB294" s="17"/>
      <c r="DC294" s="17"/>
      <c r="DD294" s="17"/>
      <c r="DE294" s="17"/>
      <c r="DF294" s="17"/>
      <c r="DG294" s="17"/>
      <c r="DH294" s="17"/>
      <c r="DI294" s="17"/>
      <c r="DJ294" s="17"/>
      <c r="DK294" s="17"/>
      <c r="DL294" s="17"/>
      <c r="DM294" s="17"/>
      <c r="DN294" s="17"/>
      <c r="DO294" s="17"/>
      <c r="DP294" s="17"/>
      <c r="DQ294" s="17"/>
      <c r="DR294" s="17"/>
      <c r="DS294" s="17"/>
      <c r="DT294" s="17"/>
      <c r="DU294" s="17"/>
      <c r="DV294" s="17"/>
      <c r="DW294" s="17"/>
      <c r="DX294" s="17"/>
      <c r="DY294" s="17"/>
      <c r="DZ294" s="17"/>
      <c r="EA294" s="17"/>
      <c r="EB294" s="17"/>
      <c r="EC294" s="17"/>
    </row>
    <row r="295" spans="1:133" x14ac:dyDescent="0.2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c r="BF295" s="17"/>
      <c r="BG295" s="17"/>
      <c r="BH295" s="17"/>
      <c r="BI295" s="17"/>
      <c r="BJ295" s="17"/>
      <c r="BK295" s="17"/>
      <c r="BL295" s="17"/>
      <c r="BM295" s="17"/>
      <c r="BN295" s="17"/>
      <c r="BO295" s="17"/>
      <c r="BP295" s="17"/>
      <c r="BQ295" s="17"/>
      <c r="BR295" s="17"/>
      <c r="BS295" s="17"/>
      <c r="BT295" s="17"/>
      <c r="BU295" s="17"/>
      <c r="BV295" s="17"/>
      <c r="BW295" s="17"/>
      <c r="BX295" s="17"/>
      <c r="BY295" s="17"/>
      <c r="BZ295" s="17"/>
      <c r="CA295" s="17"/>
      <c r="CB295" s="17"/>
      <c r="CC295" s="17"/>
      <c r="CD295" s="17"/>
      <c r="CE295" s="17"/>
      <c r="CF295" s="17"/>
      <c r="CG295" s="17"/>
      <c r="CH295" s="17"/>
      <c r="CI295" s="17"/>
      <c r="CJ295" s="17"/>
      <c r="CK295" s="17"/>
      <c r="CL295" s="17"/>
      <c r="CM295" s="17"/>
      <c r="CN295" s="17"/>
      <c r="CO295" s="17"/>
      <c r="CP295" s="17"/>
      <c r="CQ295" s="17"/>
      <c r="CR295" s="17"/>
      <c r="CS295" s="17"/>
      <c r="CT295" s="17"/>
      <c r="CU295" s="17"/>
      <c r="CV295" s="17"/>
      <c r="CW295" s="17"/>
      <c r="CX295" s="17"/>
      <c r="CY295" s="17"/>
      <c r="CZ295" s="17"/>
      <c r="DA295" s="17"/>
      <c r="DB295" s="17"/>
      <c r="DC295" s="17"/>
      <c r="DD295" s="17"/>
      <c r="DE295" s="17"/>
      <c r="DF295" s="17"/>
      <c r="DG295" s="17"/>
      <c r="DH295" s="17"/>
      <c r="DI295" s="17"/>
      <c r="DJ295" s="17"/>
      <c r="DK295" s="17"/>
      <c r="DL295" s="17"/>
      <c r="DM295" s="17"/>
      <c r="DN295" s="17"/>
      <c r="DO295" s="17"/>
      <c r="DP295" s="17"/>
      <c r="DQ295" s="17"/>
      <c r="DR295" s="17"/>
      <c r="DS295" s="17"/>
      <c r="DT295" s="17"/>
      <c r="DU295" s="17"/>
      <c r="DV295" s="17"/>
      <c r="DW295" s="17"/>
      <c r="DX295" s="17"/>
      <c r="DY295" s="17"/>
      <c r="DZ295" s="17"/>
      <c r="EA295" s="17"/>
      <c r="EB295" s="17"/>
      <c r="EC295" s="17"/>
    </row>
    <row r="296" spans="1:133" x14ac:dyDescent="0.25">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c r="BF296" s="17"/>
      <c r="BG296" s="17"/>
      <c r="BH296" s="17"/>
      <c r="BI296" s="17"/>
      <c r="BJ296" s="17"/>
      <c r="BK296" s="17"/>
      <c r="BL296" s="17"/>
      <c r="BM296" s="17"/>
      <c r="BN296" s="17"/>
      <c r="BO296" s="17"/>
      <c r="BP296" s="17"/>
      <c r="BQ296" s="17"/>
      <c r="BR296" s="17"/>
      <c r="BS296" s="17"/>
      <c r="BT296" s="17"/>
      <c r="BU296" s="17"/>
      <c r="BV296" s="17"/>
      <c r="BW296" s="17"/>
      <c r="BX296" s="17"/>
      <c r="BY296" s="17"/>
      <c r="BZ296" s="17"/>
      <c r="CA296" s="17"/>
      <c r="CB296" s="17"/>
      <c r="CC296" s="17"/>
      <c r="CD296" s="17"/>
      <c r="CE296" s="17"/>
      <c r="CF296" s="17"/>
      <c r="CG296" s="17"/>
      <c r="CH296" s="17"/>
      <c r="CI296" s="17"/>
      <c r="CJ296" s="17"/>
      <c r="CK296" s="17"/>
      <c r="CL296" s="17"/>
      <c r="CM296" s="17"/>
      <c r="CN296" s="17"/>
      <c r="CO296" s="17"/>
      <c r="CP296" s="17"/>
      <c r="CQ296" s="17"/>
      <c r="CR296" s="17"/>
      <c r="CS296" s="17"/>
      <c r="CT296" s="17"/>
      <c r="CU296" s="17"/>
      <c r="CV296" s="17"/>
      <c r="CW296" s="17"/>
      <c r="CX296" s="17"/>
      <c r="CY296" s="17"/>
      <c r="CZ296" s="17"/>
      <c r="DA296" s="17"/>
      <c r="DB296" s="17"/>
      <c r="DC296" s="17"/>
      <c r="DD296" s="17"/>
      <c r="DE296" s="17"/>
      <c r="DF296" s="17"/>
      <c r="DG296" s="17"/>
      <c r="DH296" s="17"/>
      <c r="DI296" s="17"/>
      <c r="DJ296" s="17"/>
      <c r="DK296" s="17"/>
      <c r="DL296" s="17"/>
      <c r="DM296" s="17"/>
      <c r="DN296" s="17"/>
      <c r="DO296" s="17"/>
      <c r="DP296" s="17"/>
      <c r="DQ296" s="17"/>
      <c r="DR296" s="17"/>
      <c r="DS296" s="17"/>
      <c r="DT296" s="17"/>
      <c r="DU296" s="17"/>
      <c r="DV296" s="17"/>
      <c r="DW296" s="17"/>
      <c r="DX296" s="17"/>
      <c r="DY296" s="17"/>
      <c r="DZ296" s="17"/>
      <c r="EA296" s="17"/>
      <c r="EB296" s="17"/>
      <c r="EC296" s="17"/>
    </row>
    <row r="297" spans="1:133" x14ac:dyDescent="0.25">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c r="BF297" s="17"/>
      <c r="BG297" s="17"/>
      <c r="BH297" s="17"/>
      <c r="BI297" s="17"/>
      <c r="BJ297" s="17"/>
      <c r="BK297" s="17"/>
      <c r="BL297" s="17"/>
      <c r="BM297" s="17"/>
      <c r="BN297" s="17"/>
      <c r="BO297" s="17"/>
      <c r="BP297" s="17"/>
      <c r="BQ297" s="17"/>
      <c r="BR297" s="17"/>
      <c r="BS297" s="17"/>
      <c r="BT297" s="17"/>
      <c r="BU297" s="17"/>
      <c r="BV297" s="17"/>
      <c r="BW297" s="17"/>
      <c r="BX297" s="17"/>
      <c r="BY297" s="17"/>
      <c r="BZ297" s="17"/>
      <c r="CA297" s="17"/>
      <c r="CB297" s="17"/>
      <c r="CC297" s="17"/>
      <c r="CD297" s="17"/>
      <c r="CE297" s="17"/>
      <c r="CF297" s="17"/>
      <c r="CG297" s="17"/>
      <c r="CH297" s="17"/>
      <c r="CI297" s="17"/>
      <c r="CJ297" s="17"/>
      <c r="CK297" s="17"/>
      <c r="CL297" s="17"/>
      <c r="CM297" s="17"/>
      <c r="CN297" s="17"/>
      <c r="CO297" s="17"/>
      <c r="CP297" s="17"/>
      <c r="CQ297" s="17"/>
      <c r="CR297" s="17"/>
      <c r="CS297" s="17"/>
      <c r="CT297" s="17"/>
      <c r="CU297" s="17"/>
      <c r="CV297" s="17"/>
      <c r="CW297" s="17"/>
      <c r="CX297" s="17"/>
      <c r="CY297" s="17"/>
      <c r="CZ297" s="17"/>
      <c r="DA297" s="17"/>
      <c r="DB297" s="17"/>
      <c r="DC297" s="17"/>
      <c r="DD297" s="17"/>
      <c r="DE297" s="17"/>
      <c r="DF297" s="17"/>
      <c r="DG297" s="17"/>
      <c r="DH297" s="17"/>
      <c r="DI297" s="17"/>
      <c r="DJ297" s="17"/>
      <c r="DK297" s="17"/>
      <c r="DL297" s="17"/>
      <c r="DM297" s="17"/>
      <c r="DN297" s="17"/>
      <c r="DO297" s="17"/>
      <c r="DP297" s="17"/>
      <c r="DQ297" s="17"/>
      <c r="DR297" s="17"/>
      <c r="DS297" s="17"/>
      <c r="DT297" s="17"/>
      <c r="DU297" s="17"/>
      <c r="DV297" s="17"/>
      <c r="DW297" s="17"/>
      <c r="DX297" s="17"/>
      <c r="DY297" s="17"/>
      <c r="DZ297" s="17"/>
      <c r="EA297" s="17"/>
      <c r="EB297" s="17"/>
      <c r="EC297" s="17"/>
    </row>
    <row r="298" spans="1:133" x14ac:dyDescent="0.25">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c r="BF298" s="17"/>
      <c r="BG298" s="17"/>
      <c r="BH298" s="17"/>
      <c r="BI298" s="17"/>
      <c r="BJ298" s="17"/>
      <c r="BK298" s="17"/>
      <c r="BL298" s="17"/>
      <c r="BM298" s="17"/>
      <c r="BN298" s="17"/>
      <c r="BO298" s="17"/>
      <c r="BP298" s="17"/>
      <c r="BQ298" s="17"/>
      <c r="BR298" s="17"/>
      <c r="BS298" s="17"/>
      <c r="BT298" s="17"/>
      <c r="BU298" s="17"/>
      <c r="BV298" s="17"/>
      <c r="BW298" s="17"/>
      <c r="BX298" s="17"/>
      <c r="BY298" s="17"/>
      <c r="BZ298" s="17"/>
      <c r="CA298" s="17"/>
      <c r="CB298" s="17"/>
      <c r="CC298" s="17"/>
      <c r="CD298" s="17"/>
      <c r="CE298" s="17"/>
      <c r="CF298" s="17"/>
      <c r="CG298" s="17"/>
      <c r="CH298" s="17"/>
      <c r="CI298" s="17"/>
      <c r="CJ298" s="17"/>
      <c r="CK298" s="17"/>
      <c r="CL298" s="17"/>
      <c r="CM298" s="17"/>
      <c r="CN298" s="17"/>
      <c r="CO298" s="17"/>
      <c r="CP298" s="17"/>
      <c r="CQ298" s="17"/>
      <c r="CR298" s="17"/>
      <c r="CS298" s="17"/>
      <c r="CT298" s="17"/>
      <c r="CU298" s="17"/>
      <c r="CV298" s="17"/>
      <c r="CW298" s="17"/>
      <c r="CX298" s="17"/>
      <c r="CY298" s="17"/>
      <c r="CZ298" s="17"/>
      <c r="DA298" s="17"/>
      <c r="DB298" s="17"/>
      <c r="DC298" s="17"/>
      <c r="DD298" s="17"/>
      <c r="DE298" s="17"/>
      <c r="DF298" s="17"/>
      <c r="DG298" s="17"/>
      <c r="DH298" s="17"/>
      <c r="DI298" s="17"/>
      <c r="DJ298" s="17"/>
      <c r="DK298" s="17"/>
      <c r="DL298" s="17"/>
      <c r="DM298" s="17"/>
      <c r="DN298" s="17"/>
      <c r="DO298" s="17"/>
      <c r="DP298" s="17"/>
      <c r="DQ298" s="17"/>
      <c r="DR298" s="17"/>
      <c r="DS298" s="17"/>
      <c r="DT298" s="17"/>
      <c r="DU298" s="17"/>
      <c r="DV298" s="17"/>
      <c r="DW298" s="17"/>
      <c r="DX298" s="17"/>
      <c r="DY298" s="17"/>
      <c r="DZ298" s="17"/>
      <c r="EA298" s="17"/>
      <c r="EB298" s="17"/>
      <c r="EC298" s="17"/>
    </row>
    <row r="299" spans="1:133" x14ac:dyDescent="0.25">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c r="BF299" s="17"/>
      <c r="BG299" s="17"/>
      <c r="BH299" s="17"/>
      <c r="BI299" s="17"/>
      <c r="BJ299" s="17"/>
      <c r="BK299" s="17"/>
      <c r="BL299" s="17"/>
      <c r="BM299" s="17"/>
      <c r="BN299" s="17"/>
      <c r="BO299" s="17"/>
      <c r="BP299" s="17"/>
      <c r="BQ299" s="17"/>
      <c r="BR299" s="17"/>
      <c r="BS299" s="17"/>
      <c r="BT299" s="17"/>
      <c r="BU299" s="17"/>
      <c r="BV299" s="17"/>
      <c r="BW299" s="17"/>
      <c r="BX299" s="17"/>
      <c r="BY299" s="17"/>
      <c r="BZ299" s="17"/>
      <c r="CA299" s="17"/>
      <c r="CB299" s="17"/>
      <c r="CC299" s="17"/>
      <c r="CD299" s="17"/>
      <c r="CE299" s="17"/>
      <c r="CF299" s="17"/>
      <c r="CG299" s="17"/>
      <c r="CH299" s="17"/>
      <c r="CI299" s="17"/>
      <c r="CJ299" s="17"/>
      <c r="CK299" s="17"/>
      <c r="CL299" s="17"/>
      <c r="CM299" s="17"/>
      <c r="CN299" s="17"/>
      <c r="CO299" s="17"/>
      <c r="CP299" s="17"/>
      <c r="CQ299" s="17"/>
      <c r="CR299" s="17"/>
      <c r="CS299" s="17"/>
      <c r="CT299" s="17"/>
      <c r="CU299" s="17"/>
      <c r="CV299" s="17"/>
      <c r="CW299" s="17"/>
      <c r="CX299" s="17"/>
      <c r="CY299" s="17"/>
      <c r="CZ299" s="17"/>
      <c r="DA299" s="17"/>
      <c r="DB299" s="17"/>
      <c r="DC299" s="17"/>
      <c r="DD299" s="17"/>
      <c r="DE299" s="17"/>
      <c r="DF299" s="17"/>
      <c r="DG299" s="17"/>
      <c r="DH299" s="17"/>
      <c r="DI299" s="17"/>
      <c r="DJ299" s="17"/>
      <c r="DK299" s="17"/>
      <c r="DL299" s="17"/>
      <c r="DM299" s="17"/>
      <c r="DN299" s="17"/>
      <c r="DO299" s="17"/>
      <c r="DP299" s="17"/>
      <c r="DQ299" s="17"/>
      <c r="DR299" s="17"/>
      <c r="DS299" s="17"/>
      <c r="DT299" s="17"/>
      <c r="DU299" s="17"/>
      <c r="DV299" s="17"/>
      <c r="DW299" s="17"/>
      <c r="DX299" s="17"/>
      <c r="DY299" s="17"/>
      <c r="DZ299" s="17"/>
      <c r="EA299" s="17"/>
      <c r="EB299" s="17"/>
      <c r="EC299" s="17"/>
    </row>
    <row r="300" spans="1:133" x14ac:dyDescent="0.25">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c r="BF300" s="17"/>
      <c r="BG300" s="17"/>
      <c r="BH300" s="17"/>
      <c r="BI300" s="17"/>
      <c r="BJ300" s="17"/>
      <c r="BK300" s="17"/>
      <c r="BL300" s="17"/>
      <c r="BM300" s="17"/>
      <c r="BN300" s="17"/>
      <c r="BO300" s="17"/>
      <c r="BP300" s="17"/>
      <c r="BQ300" s="17"/>
      <c r="BR300" s="17"/>
      <c r="BS300" s="17"/>
      <c r="BT300" s="17"/>
      <c r="BU300" s="17"/>
      <c r="BV300" s="17"/>
      <c r="BW300" s="17"/>
      <c r="BX300" s="17"/>
      <c r="BY300" s="17"/>
      <c r="BZ300" s="17"/>
      <c r="CA300" s="17"/>
      <c r="CB300" s="17"/>
      <c r="CC300" s="17"/>
      <c r="CD300" s="17"/>
      <c r="CE300" s="17"/>
      <c r="CF300" s="17"/>
      <c r="CG300" s="17"/>
      <c r="CH300" s="17"/>
      <c r="CI300" s="17"/>
      <c r="CJ300" s="17"/>
      <c r="CK300" s="17"/>
      <c r="CL300" s="17"/>
      <c r="CM300" s="17"/>
      <c r="CN300" s="17"/>
      <c r="CO300" s="17"/>
      <c r="CP300" s="17"/>
      <c r="CQ300" s="17"/>
      <c r="CR300" s="17"/>
      <c r="CS300" s="17"/>
      <c r="CT300" s="17"/>
      <c r="CU300" s="17"/>
      <c r="CV300" s="17"/>
      <c r="CW300" s="17"/>
      <c r="CX300" s="17"/>
      <c r="CY300" s="17"/>
      <c r="CZ300" s="17"/>
      <c r="DA300" s="17"/>
      <c r="DB300" s="17"/>
      <c r="DC300" s="17"/>
      <c r="DD300" s="17"/>
      <c r="DE300" s="17"/>
      <c r="DF300" s="17"/>
      <c r="DG300" s="17"/>
      <c r="DH300" s="17"/>
      <c r="DI300" s="17"/>
      <c r="DJ300" s="17"/>
      <c r="DK300" s="17"/>
      <c r="DL300" s="17"/>
      <c r="DM300" s="17"/>
      <c r="DN300" s="17"/>
      <c r="DO300" s="17"/>
      <c r="DP300" s="17"/>
      <c r="DQ300" s="17"/>
      <c r="DR300" s="17"/>
      <c r="DS300" s="17"/>
      <c r="DT300" s="17"/>
      <c r="DU300" s="17"/>
      <c r="DV300" s="17"/>
      <c r="DW300" s="17"/>
      <c r="DX300" s="17"/>
      <c r="DY300" s="17"/>
      <c r="DZ300" s="17"/>
      <c r="EA300" s="17"/>
      <c r="EB300" s="17"/>
      <c r="EC300" s="17"/>
    </row>
    <row r="301" spans="1:133" x14ac:dyDescent="0.25">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c r="BF301" s="17"/>
      <c r="BG301" s="17"/>
      <c r="BH301" s="17"/>
      <c r="BI301" s="17"/>
      <c r="BJ301" s="17"/>
      <c r="BK301" s="17"/>
      <c r="BL301" s="17"/>
      <c r="BM301" s="17"/>
      <c r="BN301" s="17"/>
      <c r="BO301" s="17"/>
      <c r="BP301" s="17"/>
      <c r="BQ301" s="17"/>
      <c r="BR301" s="17"/>
      <c r="BS301" s="17"/>
      <c r="BT301" s="17"/>
      <c r="BU301" s="17"/>
      <c r="BV301" s="17"/>
      <c r="BW301" s="17"/>
      <c r="BX301" s="17"/>
      <c r="BY301" s="17"/>
      <c r="BZ301" s="17"/>
      <c r="CA301" s="17"/>
      <c r="CB301" s="17"/>
      <c r="CC301" s="17"/>
      <c r="CD301" s="17"/>
      <c r="CE301" s="17"/>
      <c r="CF301" s="17"/>
      <c r="CG301" s="17"/>
      <c r="CH301" s="17"/>
      <c r="CI301" s="17"/>
      <c r="CJ301" s="17"/>
      <c r="CK301" s="17"/>
      <c r="CL301" s="17"/>
      <c r="CM301" s="17"/>
      <c r="CN301" s="17"/>
      <c r="CO301" s="17"/>
      <c r="CP301" s="17"/>
      <c r="CQ301" s="17"/>
      <c r="CR301" s="17"/>
      <c r="CS301" s="17"/>
      <c r="CT301" s="17"/>
      <c r="CU301" s="17"/>
      <c r="CV301" s="17"/>
      <c r="CW301" s="17"/>
      <c r="CX301" s="17"/>
      <c r="CY301" s="17"/>
      <c r="CZ301" s="17"/>
      <c r="DA301" s="17"/>
      <c r="DB301" s="17"/>
      <c r="DC301" s="17"/>
      <c r="DD301" s="17"/>
      <c r="DE301" s="17"/>
      <c r="DF301" s="17"/>
      <c r="DG301" s="17"/>
      <c r="DH301" s="17"/>
      <c r="DI301" s="17"/>
      <c r="DJ301" s="17"/>
      <c r="DK301" s="17"/>
      <c r="DL301" s="17"/>
      <c r="DM301" s="17"/>
      <c r="DN301" s="17"/>
      <c r="DO301" s="17"/>
      <c r="DP301" s="17"/>
      <c r="DQ301" s="17"/>
      <c r="DR301" s="17"/>
      <c r="DS301" s="17"/>
      <c r="DT301" s="17"/>
      <c r="DU301" s="17"/>
      <c r="DV301" s="17"/>
      <c r="DW301" s="17"/>
      <c r="DX301" s="17"/>
      <c r="DY301" s="17"/>
      <c r="DZ301" s="17"/>
      <c r="EA301" s="17"/>
      <c r="EB301" s="17"/>
      <c r="EC301" s="17"/>
    </row>
    <row r="302" spans="1:133" x14ac:dyDescent="0.25">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c r="BF302" s="17"/>
      <c r="BG302" s="17"/>
      <c r="BH302" s="17"/>
      <c r="BI302" s="17"/>
      <c r="BJ302" s="17"/>
      <c r="BK302" s="17"/>
      <c r="BL302" s="17"/>
      <c r="BM302" s="17"/>
      <c r="BN302" s="17"/>
      <c r="BO302" s="17"/>
      <c r="BP302" s="17"/>
      <c r="BQ302" s="17"/>
      <c r="BR302" s="17"/>
      <c r="BS302" s="17"/>
      <c r="BT302" s="17"/>
      <c r="BU302" s="17"/>
      <c r="BV302" s="17"/>
      <c r="BW302" s="17"/>
      <c r="BX302" s="17"/>
      <c r="BY302" s="17"/>
      <c r="BZ302" s="17"/>
      <c r="CA302" s="17"/>
      <c r="CB302" s="17"/>
      <c r="CC302" s="17"/>
      <c r="CD302" s="17"/>
      <c r="CE302" s="17"/>
      <c r="CF302" s="17"/>
      <c r="CG302" s="17"/>
      <c r="CH302" s="17"/>
      <c r="CI302" s="17"/>
      <c r="CJ302" s="17"/>
      <c r="CK302" s="17"/>
      <c r="CL302" s="17"/>
      <c r="CM302" s="17"/>
      <c r="CN302" s="17"/>
      <c r="CO302" s="17"/>
      <c r="CP302" s="17"/>
      <c r="CQ302" s="17"/>
      <c r="CR302" s="17"/>
      <c r="CS302" s="17"/>
      <c r="CT302" s="17"/>
      <c r="CU302" s="17"/>
      <c r="CV302" s="17"/>
      <c r="CW302" s="17"/>
      <c r="CX302" s="17"/>
      <c r="CY302" s="17"/>
      <c r="CZ302" s="17"/>
      <c r="DA302" s="17"/>
      <c r="DB302" s="17"/>
      <c r="DC302" s="17"/>
      <c r="DD302" s="17"/>
      <c r="DE302" s="17"/>
      <c r="DF302" s="17"/>
      <c r="DG302" s="17"/>
      <c r="DH302" s="17"/>
      <c r="DI302" s="17"/>
      <c r="DJ302" s="17"/>
      <c r="DK302" s="17"/>
      <c r="DL302" s="17"/>
      <c r="DM302" s="17"/>
      <c r="DN302" s="17"/>
      <c r="DO302" s="17"/>
      <c r="DP302" s="17"/>
      <c r="DQ302" s="17"/>
      <c r="DR302" s="17"/>
      <c r="DS302" s="17"/>
      <c r="DT302" s="17"/>
      <c r="DU302" s="17"/>
      <c r="DV302" s="17"/>
      <c r="DW302" s="17"/>
      <c r="DX302" s="17"/>
      <c r="DY302" s="17"/>
      <c r="DZ302" s="17"/>
      <c r="EA302" s="17"/>
      <c r="EB302" s="17"/>
      <c r="EC302" s="17"/>
    </row>
    <row r="303" spans="1:133" x14ac:dyDescent="0.25">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7"/>
      <c r="BU303" s="17"/>
      <c r="BV303" s="17"/>
      <c r="BW303" s="17"/>
      <c r="BX303" s="17"/>
      <c r="BY303" s="17"/>
      <c r="BZ303" s="17"/>
      <c r="CA303" s="17"/>
      <c r="CB303" s="17"/>
      <c r="CC303" s="17"/>
      <c r="CD303" s="17"/>
      <c r="CE303" s="17"/>
      <c r="CF303" s="17"/>
      <c r="CG303" s="17"/>
      <c r="CH303" s="17"/>
      <c r="CI303" s="17"/>
      <c r="CJ303" s="17"/>
      <c r="CK303" s="17"/>
      <c r="CL303" s="17"/>
      <c r="CM303" s="17"/>
      <c r="CN303" s="17"/>
      <c r="CO303" s="17"/>
      <c r="CP303" s="17"/>
      <c r="CQ303" s="17"/>
      <c r="CR303" s="17"/>
      <c r="CS303" s="17"/>
      <c r="CT303" s="17"/>
      <c r="CU303" s="17"/>
      <c r="CV303" s="17"/>
      <c r="CW303" s="17"/>
      <c r="CX303" s="17"/>
      <c r="CY303" s="17"/>
      <c r="CZ303" s="17"/>
      <c r="DA303" s="17"/>
      <c r="DB303" s="17"/>
      <c r="DC303" s="17"/>
      <c r="DD303" s="17"/>
      <c r="DE303" s="17"/>
      <c r="DF303" s="17"/>
      <c r="DG303" s="17"/>
      <c r="DH303" s="17"/>
      <c r="DI303" s="17"/>
      <c r="DJ303" s="17"/>
      <c r="DK303" s="17"/>
      <c r="DL303" s="17"/>
      <c r="DM303" s="17"/>
      <c r="DN303" s="17"/>
      <c r="DO303" s="17"/>
      <c r="DP303" s="17"/>
      <c r="DQ303" s="17"/>
      <c r="DR303" s="17"/>
      <c r="DS303" s="17"/>
      <c r="DT303" s="17"/>
      <c r="DU303" s="17"/>
      <c r="DV303" s="17"/>
      <c r="DW303" s="17"/>
      <c r="DX303" s="17"/>
      <c r="DY303" s="17"/>
      <c r="DZ303" s="17"/>
      <c r="EA303" s="17"/>
      <c r="EB303" s="17"/>
      <c r="EC303" s="17"/>
    </row>
    <row r="304" spans="1:133" x14ac:dyDescent="0.25">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c r="CE304" s="17"/>
      <c r="CF304" s="17"/>
      <c r="CG304" s="17"/>
      <c r="CH304" s="17"/>
      <c r="CI304" s="17"/>
      <c r="CJ304" s="17"/>
      <c r="CK304" s="17"/>
      <c r="CL304" s="17"/>
      <c r="CM304" s="17"/>
      <c r="CN304" s="17"/>
      <c r="CO304" s="17"/>
      <c r="CP304" s="17"/>
      <c r="CQ304" s="17"/>
      <c r="CR304" s="17"/>
      <c r="CS304" s="17"/>
      <c r="CT304" s="17"/>
      <c r="CU304" s="17"/>
      <c r="CV304" s="17"/>
      <c r="CW304" s="17"/>
      <c r="CX304" s="17"/>
      <c r="CY304" s="17"/>
      <c r="CZ304" s="17"/>
      <c r="DA304" s="17"/>
      <c r="DB304" s="17"/>
      <c r="DC304" s="17"/>
      <c r="DD304" s="17"/>
      <c r="DE304" s="17"/>
      <c r="DF304" s="17"/>
      <c r="DG304" s="17"/>
      <c r="DH304" s="17"/>
      <c r="DI304" s="17"/>
      <c r="DJ304" s="17"/>
      <c r="DK304" s="17"/>
      <c r="DL304" s="17"/>
      <c r="DM304" s="17"/>
      <c r="DN304" s="17"/>
      <c r="DO304" s="17"/>
      <c r="DP304" s="17"/>
      <c r="DQ304" s="17"/>
      <c r="DR304" s="17"/>
      <c r="DS304" s="17"/>
      <c r="DT304" s="17"/>
      <c r="DU304" s="17"/>
      <c r="DV304" s="17"/>
      <c r="DW304" s="17"/>
      <c r="DX304" s="17"/>
      <c r="DY304" s="17"/>
      <c r="DZ304" s="17"/>
      <c r="EA304" s="17"/>
      <c r="EB304" s="17"/>
      <c r="EC304" s="17"/>
    </row>
    <row r="305" spans="1:133" x14ac:dyDescent="0.2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c r="CE305" s="17"/>
      <c r="CF305" s="17"/>
      <c r="CG305" s="17"/>
      <c r="CH305" s="17"/>
      <c r="CI305" s="17"/>
      <c r="CJ305" s="17"/>
      <c r="CK305" s="17"/>
      <c r="CL305" s="17"/>
      <c r="CM305" s="17"/>
      <c r="CN305" s="17"/>
      <c r="CO305" s="17"/>
      <c r="CP305" s="17"/>
      <c r="CQ305" s="17"/>
      <c r="CR305" s="17"/>
      <c r="CS305" s="17"/>
      <c r="CT305" s="17"/>
      <c r="CU305" s="17"/>
      <c r="CV305" s="17"/>
      <c r="CW305" s="17"/>
      <c r="CX305" s="17"/>
      <c r="CY305" s="17"/>
      <c r="CZ305" s="17"/>
      <c r="DA305" s="17"/>
      <c r="DB305" s="17"/>
      <c r="DC305" s="17"/>
      <c r="DD305" s="17"/>
      <c r="DE305" s="17"/>
      <c r="DF305" s="17"/>
      <c r="DG305" s="17"/>
      <c r="DH305" s="17"/>
      <c r="DI305" s="17"/>
      <c r="DJ305" s="17"/>
      <c r="DK305" s="17"/>
      <c r="DL305" s="17"/>
      <c r="DM305" s="17"/>
      <c r="DN305" s="17"/>
      <c r="DO305" s="17"/>
      <c r="DP305" s="17"/>
      <c r="DQ305" s="17"/>
      <c r="DR305" s="17"/>
      <c r="DS305" s="17"/>
      <c r="DT305" s="17"/>
      <c r="DU305" s="17"/>
      <c r="DV305" s="17"/>
      <c r="DW305" s="17"/>
      <c r="DX305" s="17"/>
      <c r="DY305" s="17"/>
      <c r="DZ305" s="17"/>
      <c r="EA305" s="17"/>
      <c r="EB305" s="17"/>
      <c r="EC305" s="17"/>
    </row>
    <row r="306" spans="1:133" x14ac:dyDescent="0.25">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7"/>
      <c r="BU306" s="17"/>
      <c r="BV306" s="17"/>
      <c r="BW306" s="17"/>
      <c r="BX306" s="17"/>
      <c r="BY306" s="17"/>
      <c r="BZ306" s="17"/>
      <c r="CA306" s="17"/>
      <c r="CB306" s="17"/>
      <c r="CC306" s="17"/>
      <c r="CD306" s="17"/>
      <c r="CE306" s="17"/>
      <c r="CF306" s="17"/>
      <c r="CG306" s="17"/>
      <c r="CH306" s="17"/>
      <c r="CI306" s="17"/>
      <c r="CJ306" s="17"/>
      <c r="CK306" s="17"/>
      <c r="CL306" s="17"/>
      <c r="CM306" s="17"/>
      <c r="CN306" s="17"/>
      <c r="CO306" s="17"/>
      <c r="CP306" s="17"/>
      <c r="CQ306" s="17"/>
      <c r="CR306" s="17"/>
      <c r="CS306" s="17"/>
      <c r="CT306" s="17"/>
      <c r="CU306" s="17"/>
      <c r="CV306" s="17"/>
      <c r="CW306" s="17"/>
      <c r="CX306" s="17"/>
      <c r="CY306" s="17"/>
      <c r="CZ306" s="17"/>
      <c r="DA306" s="17"/>
      <c r="DB306" s="17"/>
      <c r="DC306" s="17"/>
      <c r="DD306" s="17"/>
      <c r="DE306" s="17"/>
      <c r="DF306" s="17"/>
      <c r="DG306" s="17"/>
      <c r="DH306" s="17"/>
      <c r="DI306" s="17"/>
      <c r="DJ306" s="17"/>
      <c r="DK306" s="17"/>
      <c r="DL306" s="17"/>
      <c r="DM306" s="17"/>
      <c r="DN306" s="17"/>
      <c r="DO306" s="17"/>
      <c r="DP306" s="17"/>
      <c r="DQ306" s="17"/>
      <c r="DR306" s="17"/>
      <c r="DS306" s="17"/>
      <c r="DT306" s="17"/>
      <c r="DU306" s="17"/>
      <c r="DV306" s="17"/>
      <c r="DW306" s="17"/>
      <c r="DX306" s="17"/>
      <c r="DY306" s="17"/>
      <c r="DZ306" s="17"/>
      <c r="EA306" s="17"/>
      <c r="EB306" s="17"/>
      <c r="EC306" s="17"/>
    </row>
    <row r="307" spans="1:133" x14ac:dyDescent="0.25">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c r="BF307" s="17"/>
      <c r="BG307" s="17"/>
      <c r="BH307" s="17"/>
      <c r="BI307" s="17"/>
      <c r="BJ307" s="17"/>
      <c r="BK307" s="17"/>
      <c r="BL307" s="17"/>
      <c r="BM307" s="17"/>
      <c r="BN307" s="17"/>
      <c r="BO307" s="17"/>
      <c r="BP307" s="17"/>
      <c r="BQ307" s="17"/>
      <c r="BR307" s="17"/>
      <c r="BS307" s="17"/>
      <c r="BT307" s="17"/>
      <c r="BU307" s="17"/>
      <c r="BV307" s="17"/>
      <c r="BW307" s="17"/>
      <c r="BX307" s="17"/>
      <c r="BY307" s="17"/>
      <c r="BZ307" s="17"/>
      <c r="CA307" s="17"/>
      <c r="CB307" s="17"/>
      <c r="CC307" s="17"/>
      <c r="CD307" s="17"/>
      <c r="CE307" s="17"/>
      <c r="CF307" s="17"/>
      <c r="CG307" s="17"/>
      <c r="CH307" s="17"/>
      <c r="CI307" s="17"/>
      <c r="CJ307" s="17"/>
      <c r="CK307" s="17"/>
      <c r="CL307" s="17"/>
      <c r="CM307" s="17"/>
      <c r="CN307" s="17"/>
      <c r="CO307" s="17"/>
      <c r="CP307" s="17"/>
      <c r="CQ307" s="17"/>
      <c r="CR307" s="17"/>
      <c r="CS307" s="17"/>
      <c r="CT307" s="17"/>
      <c r="CU307" s="17"/>
      <c r="CV307" s="17"/>
      <c r="CW307" s="17"/>
      <c r="CX307" s="17"/>
      <c r="CY307" s="17"/>
      <c r="CZ307" s="17"/>
      <c r="DA307" s="17"/>
      <c r="DB307" s="17"/>
      <c r="DC307" s="17"/>
      <c r="DD307" s="17"/>
      <c r="DE307" s="17"/>
      <c r="DF307" s="17"/>
      <c r="DG307" s="17"/>
      <c r="DH307" s="17"/>
      <c r="DI307" s="17"/>
      <c r="DJ307" s="17"/>
      <c r="DK307" s="17"/>
      <c r="DL307" s="17"/>
      <c r="DM307" s="17"/>
      <c r="DN307" s="17"/>
      <c r="DO307" s="17"/>
      <c r="DP307" s="17"/>
      <c r="DQ307" s="17"/>
      <c r="DR307" s="17"/>
      <c r="DS307" s="17"/>
      <c r="DT307" s="17"/>
      <c r="DU307" s="17"/>
      <c r="DV307" s="17"/>
      <c r="DW307" s="17"/>
      <c r="DX307" s="17"/>
      <c r="DY307" s="17"/>
      <c r="DZ307" s="17"/>
      <c r="EA307" s="17"/>
      <c r="EB307" s="17"/>
      <c r="EC307" s="17"/>
    </row>
    <row r="308" spans="1:133" x14ac:dyDescent="0.25">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c r="BF308" s="17"/>
      <c r="BG308" s="17"/>
      <c r="BH308" s="17"/>
      <c r="BI308" s="17"/>
      <c r="BJ308" s="17"/>
      <c r="BK308" s="17"/>
      <c r="BL308" s="17"/>
      <c r="BM308" s="17"/>
      <c r="BN308" s="17"/>
      <c r="BO308" s="17"/>
      <c r="BP308" s="17"/>
      <c r="BQ308" s="17"/>
      <c r="BR308" s="17"/>
      <c r="BS308" s="17"/>
      <c r="BT308" s="17"/>
      <c r="BU308" s="17"/>
      <c r="BV308" s="17"/>
      <c r="BW308" s="17"/>
      <c r="BX308" s="17"/>
      <c r="BY308" s="17"/>
      <c r="BZ308" s="17"/>
      <c r="CA308" s="17"/>
      <c r="CB308" s="17"/>
      <c r="CC308" s="17"/>
      <c r="CD308" s="17"/>
      <c r="CE308" s="17"/>
      <c r="CF308" s="17"/>
      <c r="CG308" s="17"/>
      <c r="CH308" s="17"/>
      <c r="CI308" s="17"/>
      <c r="CJ308" s="17"/>
      <c r="CK308" s="17"/>
      <c r="CL308" s="17"/>
      <c r="CM308" s="17"/>
      <c r="CN308" s="17"/>
      <c r="CO308" s="17"/>
      <c r="CP308" s="17"/>
      <c r="CQ308" s="17"/>
      <c r="CR308" s="17"/>
      <c r="CS308" s="17"/>
      <c r="CT308" s="17"/>
      <c r="CU308" s="17"/>
      <c r="CV308" s="17"/>
      <c r="CW308" s="17"/>
      <c r="CX308" s="17"/>
      <c r="CY308" s="17"/>
      <c r="CZ308" s="17"/>
      <c r="DA308" s="17"/>
      <c r="DB308" s="17"/>
      <c r="DC308" s="17"/>
      <c r="DD308" s="17"/>
      <c r="DE308" s="17"/>
      <c r="DF308" s="17"/>
      <c r="DG308" s="17"/>
      <c r="DH308" s="17"/>
      <c r="DI308" s="17"/>
      <c r="DJ308" s="17"/>
      <c r="DK308" s="17"/>
      <c r="DL308" s="17"/>
      <c r="DM308" s="17"/>
      <c r="DN308" s="17"/>
      <c r="DO308" s="17"/>
      <c r="DP308" s="17"/>
      <c r="DQ308" s="17"/>
      <c r="DR308" s="17"/>
      <c r="DS308" s="17"/>
      <c r="DT308" s="17"/>
      <c r="DU308" s="17"/>
      <c r="DV308" s="17"/>
      <c r="DW308" s="17"/>
      <c r="DX308" s="17"/>
      <c r="DY308" s="17"/>
      <c r="DZ308" s="17"/>
      <c r="EA308" s="17"/>
      <c r="EB308" s="17"/>
      <c r="EC308" s="17"/>
    </row>
    <row r="309" spans="1:133" x14ac:dyDescent="0.25">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c r="BF309" s="17"/>
      <c r="BG309" s="17"/>
      <c r="BH309" s="17"/>
      <c r="BI309" s="17"/>
      <c r="BJ309" s="17"/>
      <c r="BK309" s="17"/>
      <c r="BL309" s="17"/>
      <c r="BM309" s="17"/>
      <c r="BN309" s="17"/>
      <c r="BO309" s="17"/>
      <c r="BP309" s="17"/>
      <c r="BQ309" s="17"/>
      <c r="BR309" s="17"/>
      <c r="BS309" s="17"/>
      <c r="BT309" s="17"/>
      <c r="BU309" s="17"/>
      <c r="BV309" s="17"/>
      <c r="BW309" s="17"/>
      <c r="BX309" s="17"/>
      <c r="BY309" s="17"/>
      <c r="BZ309" s="17"/>
      <c r="CA309" s="17"/>
      <c r="CB309" s="17"/>
      <c r="CC309" s="17"/>
      <c r="CD309" s="17"/>
      <c r="CE309" s="17"/>
      <c r="CF309" s="17"/>
      <c r="CG309" s="17"/>
      <c r="CH309" s="17"/>
      <c r="CI309" s="17"/>
      <c r="CJ309" s="17"/>
      <c r="CK309" s="17"/>
      <c r="CL309" s="17"/>
      <c r="CM309" s="17"/>
      <c r="CN309" s="17"/>
      <c r="CO309" s="17"/>
      <c r="CP309" s="17"/>
      <c r="CQ309" s="17"/>
      <c r="CR309" s="17"/>
      <c r="CS309" s="17"/>
      <c r="CT309" s="17"/>
      <c r="CU309" s="17"/>
      <c r="CV309" s="17"/>
      <c r="CW309" s="17"/>
      <c r="CX309" s="17"/>
      <c r="CY309" s="17"/>
      <c r="CZ309" s="17"/>
      <c r="DA309" s="17"/>
      <c r="DB309" s="17"/>
      <c r="DC309" s="17"/>
      <c r="DD309" s="17"/>
      <c r="DE309" s="17"/>
      <c r="DF309" s="17"/>
      <c r="DG309" s="17"/>
      <c r="DH309" s="17"/>
      <c r="DI309" s="17"/>
      <c r="DJ309" s="17"/>
      <c r="DK309" s="17"/>
      <c r="DL309" s="17"/>
      <c r="DM309" s="17"/>
      <c r="DN309" s="17"/>
      <c r="DO309" s="17"/>
      <c r="DP309" s="17"/>
      <c r="DQ309" s="17"/>
      <c r="DR309" s="17"/>
      <c r="DS309" s="17"/>
      <c r="DT309" s="17"/>
      <c r="DU309" s="17"/>
      <c r="DV309" s="17"/>
      <c r="DW309" s="17"/>
      <c r="DX309" s="17"/>
      <c r="DY309" s="17"/>
      <c r="DZ309" s="17"/>
      <c r="EA309" s="17"/>
      <c r="EB309" s="17"/>
      <c r="EC309" s="17"/>
    </row>
    <row r="310" spans="1:133" x14ac:dyDescent="0.25">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c r="CE310" s="17"/>
      <c r="CF310" s="17"/>
      <c r="CG310" s="17"/>
      <c r="CH310" s="17"/>
      <c r="CI310" s="17"/>
      <c r="CJ310" s="17"/>
      <c r="CK310" s="17"/>
      <c r="CL310" s="17"/>
      <c r="CM310" s="17"/>
      <c r="CN310" s="17"/>
      <c r="CO310" s="17"/>
      <c r="CP310" s="17"/>
      <c r="CQ310" s="17"/>
      <c r="CR310" s="17"/>
      <c r="CS310" s="17"/>
      <c r="CT310" s="17"/>
      <c r="CU310" s="17"/>
      <c r="CV310" s="17"/>
      <c r="CW310" s="17"/>
      <c r="CX310" s="17"/>
      <c r="CY310" s="17"/>
      <c r="CZ310" s="17"/>
      <c r="DA310" s="17"/>
      <c r="DB310" s="17"/>
      <c r="DC310" s="17"/>
      <c r="DD310" s="17"/>
      <c r="DE310" s="17"/>
      <c r="DF310" s="17"/>
      <c r="DG310" s="17"/>
      <c r="DH310" s="17"/>
      <c r="DI310" s="17"/>
      <c r="DJ310" s="17"/>
      <c r="DK310" s="17"/>
      <c r="DL310" s="17"/>
      <c r="DM310" s="17"/>
      <c r="DN310" s="17"/>
      <c r="DO310" s="17"/>
      <c r="DP310" s="17"/>
      <c r="DQ310" s="17"/>
      <c r="DR310" s="17"/>
      <c r="DS310" s="17"/>
      <c r="DT310" s="17"/>
      <c r="DU310" s="17"/>
      <c r="DV310" s="17"/>
      <c r="DW310" s="17"/>
      <c r="DX310" s="17"/>
      <c r="DY310" s="17"/>
      <c r="DZ310" s="17"/>
      <c r="EA310" s="17"/>
      <c r="EB310" s="17"/>
      <c r="EC310" s="17"/>
    </row>
    <row r="311" spans="1:133" x14ac:dyDescent="0.25">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c r="BF311" s="17"/>
      <c r="BG311" s="17"/>
      <c r="BH311" s="17"/>
      <c r="BI311" s="17"/>
      <c r="BJ311" s="17"/>
      <c r="BK311" s="17"/>
      <c r="BL311" s="17"/>
      <c r="BM311" s="17"/>
      <c r="BN311" s="17"/>
      <c r="BO311" s="17"/>
      <c r="BP311" s="17"/>
      <c r="BQ311" s="17"/>
      <c r="BR311" s="17"/>
      <c r="BS311" s="17"/>
      <c r="BT311" s="17"/>
      <c r="BU311" s="17"/>
      <c r="BV311" s="17"/>
      <c r="BW311" s="17"/>
      <c r="BX311" s="17"/>
      <c r="BY311" s="17"/>
      <c r="BZ311" s="17"/>
      <c r="CA311" s="17"/>
      <c r="CB311" s="17"/>
      <c r="CC311" s="17"/>
      <c r="CD311" s="17"/>
      <c r="CE311" s="17"/>
      <c r="CF311" s="17"/>
      <c r="CG311" s="17"/>
      <c r="CH311" s="17"/>
      <c r="CI311" s="17"/>
      <c r="CJ311" s="17"/>
      <c r="CK311" s="17"/>
      <c r="CL311" s="17"/>
      <c r="CM311" s="17"/>
      <c r="CN311" s="17"/>
      <c r="CO311" s="17"/>
      <c r="CP311" s="17"/>
      <c r="CQ311" s="17"/>
      <c r="CR311" s="17"/>
      <c r="CS311" s="17"/>
      <c r="CT311" s="17"/>
      <c r="CU311" s="17"/>
      <c r="CV311" s="17"/>
      <c r="CW311" s="17"/>
      <c r="CX311" s="17"/>
      <c r="CY311" s="17"/>
      <c r="CZ311" s="17"/>
      <c r="DA311" s="17"/>
      <c r="DB311" s="17"/>
      <c r="DC311" s="17"/>
      <c r="DD311" s="17"/>
      <c r="DE311" s="17"/>
      <c r="DF311" s="17"/>
      <c r="DG311" s="17"/>
      <c r="DH311" s="17"/>
      <c r="DI311" s="17"/>
      <c r="DJ311" s="17"/>
      <c r="DK311" s="17"/>
      <c r="DL311" s="17"/>
      <c r="DM311" s="17"/>
      <c r="DN311" s="17"/>
      <c r="DO311" s="17"/>
      <c r="DP311" s="17"/>
      <c r="DQ311" s="17"/>
      <c r="DR311" s="17"/>
      <c r="DS311" s="17"/>
      <c r="DT311" s="17"/>
      <c r="DU311" s="17"/>
      <c r="DV311" s="17"/>
      <c r="DW311" s="17"/>
      <c r="DX311" s="17"/>
      <c r="DY311" s="17"/>
      <c r="DZ311" s="17"/>
      <c r="EA311" s="17"/>
      <c r="EB311" s="17"/>
      <c r="EC311" s="17"/>
    </row>
    <row r="312" spans="1:133" x14ac:dyDescent="0.25">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7"/>
      <c r="BU312" s="17"/>
      <c r="BV312" s="17"/>
      <c r="BW312" s="17"/>
      <c r="BX312" s="17"/>
      <c r="BY312" s="17"/>
      <c r="BZ312" s="17"/>
      <c r="CA312" s="17"/>
      <c r="CB312" s="17"/>
      <c r="CC312" s="17"/>
      <c r="CD312" s="17"/>
      <c r="CE312" s="17"/>
      <c r="CF312" s="17"/>
      <c r="CG312" s="17"/>
      <c r="CH312" s="17"/>
      <c r="CI312" s="17"/>
      <c r="CJ312" s="17"/>
      <c r="CK312" s="17"/>
      <c r="CL312" s="17"/>
      <c r="CM312" s="17"/>
      <c r="CN312" s="17"/>
      <c r="CO312" s="17"/>
      <c r="CP312" s="17"/>
      <c r="CQ312" s="17"/>
      <c r="CR312" s="17"/>
      <c r="CS312" s="17"/>
      <c r="CT312" s="17"/>
      <c r="CU312" s="17"/>
      <c r="CV312" s="17"/>
      <c r="CW312" s="17"/>
      <c r="CX312" s="17"/>
      <c r="CY312" s="17"/>
      <c r="CZ312" s="17"/>
      <c r="DA312" s="17"/>
      <c r="DB312" s="17"/>
      <c r="DC312" s="17"/>
      <c r="DD312" s="17"/>
      <c r="DE312" s="17"/>
      <c r="DF312" s="17"/>
      <c r="DG312" s="17"/>
      <c r="DH312" s="17"/>
      <c r="DI312" s="17"/>
      <c r="DJ312" s="17"/>
      <c r="DK312" s="17"/>
      <c r="DL312" s="17"/>
      <c r="DM312" s="17"/>
      <c r="DN312" s="17"/>
      <c r="DO312" s="17"/>
      <c r="DP312" s="17"/>
      <c r="DQ312" s="17"/>
      <c r="DR312" s="17"/>
      <c r="DS312" s="17"/>
      <c r="DT312" s="17"/>
      <c r="DU312" s="17"/>
      <c r="DV312" s="17"/>
      <c r="DW312" s="17"/>
      <c r="DX312" s="17"/>
      <c r="DY312" s="17"/>
      <c r="DZ312" s="17"/>
      <c r="EA312" s="17"/>
      <c r="EB312" s="17"/>
      <c r="EC312" s="17"/>
    </row>
    <row r="313" spans="1:133" x14ac:dyDescent="0.25">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c r="BF313" s="17"/>
      <c r="BG313" s="17"/>
      <c r="BH313" s="17"/>
      <c r="BI313" s="17"/>
      <c r="BJ313" s="17"/>
      <c r="BK313" s="17"/>
      <c r="BL313" s="17"/>
      <c r="BM313" s="17"/>
      <c r="BN313" s="17"/>
      <c r="BO313" s="17"/>
      <c r="BP313" s="17"/>
      <c r="BQ313" s="17"/>
      <c r="BR313" s="17"/>
      <c r="BS313" s="17"/>
      <c r="BT313" s="17"/>
      <c r="BU313" s="17"/>
      <c r="BV313" s="17"/>
      <c r="BW313" s="17"/>
      <c r="BX313" s="17"/>
      <c r="BY313" s="17"/>
      <c r="BZ313" s="17"/>
      <c r="CA313" s="17"/>
      <c r="CB313" s="17"/>
      <c r="CC313" s="17"/>
      <c r="CD313" s="17"/>
      <c r="CE313" s="17"/>
      <c r="CF313" s="17"/>
      <c r="CG313" s="17"/>
      <c r="CH313" s="17"/>
      <c r="CI313" s="17"/>
      <c r="CJ313" s="17"/>
      <c r="CK313" s="17"/>
      <c r="CL313" s="17"/>
      <c r="CM313" s="17"/>
      <c r="CN313" s="17"/>
      <c r="CO313" s="17"/>
      <c r="CP313" s="17"/>
      <c r="CQ313" s="17"/>
      <c r="CR313" s="17"/>
      <c r="CS313" s="17"/>
      <c r="CT313" s="17"/>
      <c r="CU313" s="17"/>
      <c r="CV313" s="17"/>
      <c r="CW313" s="17"/>
      <c r="CX313" s="17"/>
      <c r="CY313" s="17"/>
      <c r="CZ313" s="17"/>
      <c r="DA313" s="17"/>
      <c r="DB313" s="17"/>
      <c r="DC313" s="17"/>
      <c r="DD313" s="17"/>
      <c r="DE313" s="17"/>
      <c r="DF313" s="17"/>
      <c r="DG313" s="17"/>
      <c r="DH313" s="17"/>
      <c r="DI313" s="17"/>
      <c r="DJ313" s="17"/>
      <c r="DK313" s="17"/>
      <c r="DL313" s="17"/>
      <c r="DM313" s="17"/>
      <c r="DN313" s="17"/>
      <c r="DO313" s="17"/>
      <c r="DP313" s="17"/>
      <c r="DQ313" s="17"/>
      <c r="DR313" s="17"/>
      <c r="DS313" s="17"/>
      <c r="DT313" s="17"/>
      <c r="DU313" s="17"/>
      <c r="DV313" s="17"/>
      <c r="DW313" s="17"/>
      <c r="DX313" s="17"/>
      <c r="DY313" s="17"/>
      <c r="DZ313" s="17"/>
      <c r="EA313" s="17"/>
      <c r="EB313" s="17"/>
      <c r="EC313" s="17"/>
    </row>
    <row r="314" spans="1:133" x14ac:dyDescent="0.25">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7"/>
      <c r="BU314" s="17"/>
      <c r="BV314" s="17"/>
      <c r="BW314" s="17"/>
      <c r="BX314" s="17"/>
      <c r="BY314" s="17"/>
      <c r="BZ314" s="17"/>
      <c r="CA314" s="17"/>
      <c r="CB314" s="17"/>
      <c r="CC314" s="17"/>
      <c r="CD314" s="17"/>
      <c r="CE314" s="17"/>
      <c r="CF314" s="17"/>
      <c r="CG314" s="17"/>
      <c r="CH314" s="17"/>
      <c r="CI314" s="17"/>
      <c r="CJ314" s="17"/>
      <c r="CK314" s="17"/>
      <c r="CL314" s="17"/>
      <c r="CM314" s="17"/>
      <c r="CN314" s="17"/>
      <c r="CO314" s="17"/>
      <c r="CP314" s="17"/>
      <c r="CQ314" s="17"/>
      <c r="CR314" s="17"/>
      <c r="CS314" s="17"/>
      <c r="CT314" s="17"/>
      <c r="CU314" s="17"/>
      <c r="CV314" s="17"/>
      <c r="CW314" s="17"/>
      <c r="CX314" s="17"/>
      <c r="CY314" s="17"/>
      <c r="CZ314" s="17"/>
      <c r="DA314" s="17"/>
      <c r="DB314" s="17"/>
      <c r="DC314" s="17"/>
      <c r="DD314" s="17"/>
      <c r="DE314" s="17"/>
      <c r="DF314" s="17"/>
      <c r="DG314" s="17"/>
      <c r="DH314" s="17"/>
      <c r="DI314" s="17"/>
      <c r="DJ314" s="17"/>
      <c r="DK314" s="17"/>
      <c r="DL314" s="17"/>
      <c r="DM314" s="17"/>
      <c r="DN314" s="17"/>
      <c r="DO314" s="17"/>
      <c r="DP314" s="17"/>
      <c r="DQ314" s="17"/>
      <c r="DR314" s="17"/>
      <c r="DS314" s="17"/>
      <c r="DT314" s="17"/>
      <c r="DU314" s="17"/>
      <c r="DV314" s="17"/>
      <c r="DW314" s="17"/>
      <c r="DX314" s="17"/>
      <c r="DY314" s="17"/>
      <c r="DZ314" s="17"/>
      <c r="EA314" s="17"/>
      <c r="EB314" s="17"/>
      <c r="EC314" s="17"/>
    </row>
    <row r="315" spans="1:133" x14ac:dyDescent="0.2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c r="BF315" s="17"/>
      <c r="BG315" s="17"/>
      <c r="BH315" s="17"/>
      <c r="BI315" s="17"/>
      <c r="BJ315" s="17"/>
      <c r="BK315" s="17"/>
      <c r="BL315" s="17"/>
      <c r="BM315" s="17"/>
      <c r="BN315" s="17"/>
      <c r="BO315" s="17"/>
      <c r="BP315" s="17"/>
      <c r="BQ315" s="17"/>
      <c r="BR315" s="17"/>
      <c r="BS315" s="17"/>
      <c r="BT315" s="17"/>
      <c r="BU315" s="17"/>
      <c r="BV315" s="17"/>
      <c r="BW315" s="17"/>
      <c r="BX315" s="17"/>
      <c r="BY315" s="17"/>
      <c r="BZ315" s="17"/>
      <c r="CA315" s="17"/>
      <c r="CB315" s="17"/>
      <c r="CC315" s="17"/>
      <c r="CD315" s="17"/>
      <c r="CE315" s="17"/>
      <c r="CF315" s="17"/>
      <c r="CG315" s="17"/>
      <c r="CH315" s="17"/>
      <c r="CI315" s="17"/>
      <c r="CJ315" s="17"/>
      <c r="CK315" s="17"/>
      <c r="CL315" s="17"/>
      <c r="CM315" s="17"/>
      <c r="CN315" s="17"/>
      <c r="CO315" s="17"/>
      <c r="CP315" s="17"/>
      <c r="CQ315" s="17"/>
      <c r="CR315" s="17"/>
      <c r="CS315" s="17"/>
      <c r="CT315" s="17"/>
      <c r="CU315" s="17"/>
      <c r="CV315" s="17"/>
      <c r="CW315" s="17"/>
      <c r="CX315" s="17"/>
      <c r="CY315" s="17"/>
      <c r="CZ315" s="17"/>
      <c r="DA315" s="17"/>
      <c r="DB315" s="17"/>
      <c r="DC315" s="17"/>
      <c r="DD315" s="17"/>
      <c r="DE315" s="17"/>
      <c r="DF315" s="17"/>
      <c r="DG315" s="17"/>
      <c r="DH315" s="17"/>
      <c r="DI315" s="17"/>
      <c r="DJ315" s="17"/>
      <c r="DK315" s="17"/>
      <c r="DL315" s="17"/>
      <c r="DM315" s="17"/>
      <c r="DN315" s="17"/>
      <c r="DO315" s="17"/>
      <c r="DP315" s="17"/>
      <c r="DQ315" s="17"/>
      <c r="DR315" s="17"/>
      <c r="DS315" s="17"/>
      <c r="DT315" s="17"/>
      <c r="DU315" s="17"/>
      <c r="DV315" s="17"/>
      <c r="DW315" s="17"/>
      <c r="DX315" s="17"/>
      <c r="DY315" s="17"/>
      <c r="DZ315" s="17"/>
      <c r="EA315" s="17"/>
      <c r="EB315" s="17"/>
      <c r="EC315" s="17"/>
    </row>
    <row r="316" spans="1:133" x14ac:dyDescent="0.25">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c r="BF316" s="17"/>
      <c r="BG316" s="17"/>
      <c r="BH316" s="17"/>
      <c r="BI316" s="17"/>
      <c r="BJ316" s="17"/>
      <c r="BK316" s="17"/>
      <c r="BL316" s="17"/>
      <c r="BM316" s="17"/>
      <c r="BN316" s="17"/>
      <c r="BO316" s="17"/>
      <c r="BP316" s="17"/>
      <c r="BQ316" s="17"/>
      <c r="BR316" s="17"/>
      <c r="BS316" s="17"/>
      <c r="BT316" s="17"/>
      <c r="BU316" s="17"/>
      <c r="BV316" s="17"/>
      <c r="BW316" s="17"/>
      <c r="BX316" s="17"/>
      <c r="BY316" s="17"/>
      <c r="BZ316" s="17"/>
      <c r="CA316" s="17"/>
      <c r="CB316" s="17"/>
      <c r="CC316" s="17"/>
      <c r="CD316" s="17"/>
      <c r="CE316" s="17"/>
      <c r="CF316" s="17"/>
      <c r="CG316" s="17"/>
      <c r="CH316" s="17"/>
      <c r="CI316" s="17"/>
      <c r="CJ316" s="17"/>
      <c r="CK316" s="17"/>
      <c r="CL316" s="17"/>
      <c r="CM316" s="17"/>
      <c r="CN316" s="17"/>
      <c r="CO316" s="17"/>
      <c r="CP316" s="17"/>
      <c r="CQ316" s="17"/>
      <c r="CR316" s="17"/>
      <c r="CS316" s="17"/>
      <c r="CT316" s="17"/>
      <c r="CU316" s="17"/>
      <c r="CV316" s="17"/>
      <c r="CW316" s="17"/>
      <c r="CX316" s="17"/>
      <c r="CY316" s="17"/>
      <c r="CZ316" s="17"/>
      <c r="DA316" s="17"/>
      <c r="DB316" s="17"/>
      <c r="DC316" s="17"/>
      <c r="DD316" s="17"/>
      <c r="DE316" s="17"/>
      <c r="DF316" s="17"/>
      <c r="DG316" s="17"/>
      <c r="DH316" s="17"/>
      <c r="DI316" s="17"/>
      <c r="DJ316" s="17"/>
      <c r="DK316" s="17"/>
      <c r="DL316" s="17"/>
      <c r="DM316" s="17"/>
      <c r="DN316" s="17"/>
      <c r="DO316" s="17"/>
      <c r="DP316" s="17"/>
      <c r="DQ316" s="17"/>
      <c r="DR316" s="17"/>
      <c r="DS316" s="17"/>
      <c r="DT316" s="17"/>
      <c r="DU316" s="17"/>
      <c r="DV316" s="17"/>
      <c r="DW316" s="17"/>
      <c r="DX316" s="17"/>
      <c r="DY316" s="17"/>
      <c r="DZ316" s="17"/>
      <c r="EA316" s="17"/>
      <c r="EB316" s="17"/>
      <c r="EC316" s="17"/>
    </row>
    <row r="317" spans="1:133" x14ac:dyDescent="0.25">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c r="BF317" s="17"/>
      <c r="BG317" s="17"/>
      <c r="BH317" s="17"/>
      <c r="BI317" s="17"/>
      <c r="BJ317" s="17"/>
      <c r="BK317" s="17"/>
      <c r="BL317" s="17"/>
      <c r="BM317" s="17"/>
      <c r="BN317" s="17"/>
      <c r="BO317" s="17"/>
      <c r="BP317" s="17"/>
      <c r="BQ317" s="17"/>
      <c r="BR317" s="17"/>
      <c r="BS317" s="17"/>
      <c r="BT317" s="17"/>
      <c r="BU317" s="17"/>
      <c r="BV317" s="17"/>
      <c r="BW317" s="17"/>
      <c r="BX317" s="17"/>
      <c r="BY317" s="17"/>
      <c r="BZ317" s="17"/>
      <c r="CA317" s="17"/>
      <c r="CB317" s="17"/>
      <c r="CC317" s="17"/>
      <c r="CD317" s="17"/>
      <c r="CE317" s="17"/>
      <c r="CF317" s="17"/>
      <c r="CG317" s="17"/>
      <c r="CH317" s="17"/>
      <c r="CI317" s="17"/>
      <c r="CJ317" s="17"/>
      <c r="CK317" s="17"/>
      <c r="CL317" s="17"/>
      <c r="CM317" s="17"/>
      <c r="CN317" s="17"/>
      <c r="CO317" s="17"/>
      <c r="CP317" s="17"/>
      <c r="CQ317" s="17"/>
      <c r="CR317" s="17"/>
      <c r="CS317" s="17"/>
      <c r="CT317" s="17"/>
      <c r="CU317" s="17"/>
      <c r="CV317" s="17"/>
      <c r="CW317" s="17"/>
      <c r="CX317" s="17"/>
      <c r="CY317" s="17"/>
      <c r="CZ317" s="17"/>
      <c r="DA317" s="17"/>
      <c r="DB317" s="17"/>
      <c r="DC317" s="17"/>
      <c r="DD317" s="17"/>
      <c r="DE317" s="17"/>
      <c r="DF317" s="17"/>
      <c r="DG317" s="17"/>
      <c r="DH317" s="17"/>
      <c r="DI317" s="17"/>
      <c r="DJ317" s="17"/>
      <c r="DK317" s="17"/>
      <c r="DL317" s="17"/>
      <c r="DM317" s="17"/>
      <c r="DN317" s="17"/>
      <c r="DO317" s="17"/>
      <c r="DP317" s="17"/>
      <c r="DQ317" s="17"/>
      <c r="DR317" s="17"/>
      <c r="DS317" s="17"/>
      <c r="DT317" s="17"/>
      <c r="DU317" s="17"/>
      <c r="DV317" s="17"/>
      <c r="DW317" s="17"/>
      <c r="DX317" s="17"/>
      <c r="DY317" s="17"/>
      <c r="DZ317" s="17"/>
      <c r="EA317" s="17"/>
      <c r="EB317" s="17"/>
      <c r="EC317" s="17"/>
    </row>
    <row r="318" spans="1:133" x14ac:dyDescent="0.25">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c r="BF318" s="17"/>
      <c r="BG318" s="17"/>
      <c r="BH318" s="17"/>
      <c r="BI318" s="17"/>
      <c r="BJ318" s="17"/>
      <c r="BK318" s="17"/>
      <c r="BL318" s="17"/>
      <c r="BM318" s="17"/>
      <c r="BN318" s="17"/>
      <c r="BO318" s="17"/>
      <c r="BP318" s="17"/>
      <c r="BQ318" s="17"/>
      <c r="BR318" s="17"/>
      <c r="BS318" s="17"/>
      <c r="BT318" s="17"/>
      <c r="BU318" s="17"/>
      <c r="BV318" s="17"/>
      <c r="BW318" s="17"/>
      <c r="BX318" s="17"/>
      <c r="BY318" s="17"/>
      <c r="BZ318" s="17"/>
      <c r="CA318" s="17"/>
      <c r="CB318" s="17"/>
      <c r="CC318" s="17"/>
      <c r="CD318" s="17"/>
      <c r="CE318" s="17"/>
      <c r="CF318" s="17"/>
      <c r="CG318" s="17"/>
      <c r="CH318" s="17"/>
      <c r="CI318" s="17"/>
      <c r="CJ318" s="17"/>
      <c r="CK318" s="17"/>
      <c r="CL318" s="17"/>
      <c r="CM318" s="17"/>
      <c r="CN318" s="17"/>
      <c r="CO318" s="17"/>
      <c r="CP318" s="17"/>
      <c r="CQ318" s="17"/>
      <c r="CR318" s="17"/>
      <c r="CS318" s="17"/>
      <c r="CT318" s="17"/>
      <c r="CU318" s="17"/>
      <c r="CV318" s="17"/>
      <c r="CW318" s="17"/>
      <c r="CX318" s="17"/>
      <c r="CY318" s="17"/>
      <c r="CZ318" s="17"/>
      <c r="DA318" s="17"/>
      <c r="DB318" s="17"/>
      <c r="DC318" s="17"/>
      <c r="DD318" s="17"/>
      <c r="DE318" s="17"/>
      <c r="DF318" s="17"/>
      <c r="DG318" s="17"/>
      <c r="DH318" s="17"/>
      <c r="DI318" s="17"/>
      <c r="DJ318" s="17"/>
      <c r="DK318" s="17"/>
      <c r="DL318" s="17"/>
      <c r="DM318" s="17"/>
      <c r="DN318" s="17"/>
      <c r="DO318" s="17"/>
      <c r="DP318" s="17"/>
      <c r="DQ318" s="17"/>
      <c r="DR318" s="17"/>
      <c r="DS318" s="17"/>
      <c r="DT318" s="17"/>
      <c r="DU318" s="17"/>
      <c r="DV318" s="17"/>
      <c r="DW318" s="17"/>
      <c r="DX318" s="17"/>
      <c r="DY318" s="17"/>
      <c r="DZ318" s="17"/>
      <c r="EA318" s="17"/>
      <c r="EB318" s="17"/>
      <c r="EC318" s="17"/>
    </row>
    <row r="319" spans="1:133" x14ac:dyDescent="0.25">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c r="BF319" s="17"/>
      <c r="BG319" s="17"/>
      <c r="BH319" s="17"/>
      <c r="BI319" s="17"/>
      <c r="BJ319" s="17"/>
      <c r="BK319" s="17"/>
      <c r="BL319" s="17"/>
      <c r="BM319" s="17"/>
      <c r="BN319" s="17"/>
      <c r="BO319" s="17"/>
      <c r="BP319" s="17"/>
      <c r="BQ319" s="17"/>
      <c r="BR319" s="17"/>
      <c r="BS319" s="17"/>
      <c r="BT319" s="17"/>
      <c r="BU319" s="17"/>
      <c r="BV319" s="17"/>
      <c r="BW319" s="17"/>
      <c r="BX319" s="17"/>
      <c r="BY319" s="17"/>
      <c r="BZ319" s="17"/>
      <c r="CA319" s="17"/>
      <c r="CB319" s="17"/>
      <c r="CC319" s="17"/>
      <c r="CD319" s="17"/>
      <c r="CE319" s="17"/>
      <c r="CF319" s="17"/>
      <c r="CG319" s="17"/>
      <c r="CH319" s="17"/>
      <c r="CI319" s="17"/>
      <c r="CJ319" s="17"/>
      <c r="CK319" s="17"/>
      <c r="CL319" s="17"/>
      <c r="CM319" s="17"/>
      <c r="CN319" s="17"/>
      <c r="CO319" s="17"/>
      <c r="CP319" s="17"/>
      <c r="CQ319" s="17"/>
      <c r="CR319" s="17"/>
      <c r="CS319" s="17"/>
      <c r="CT319" s="17"/>
      <c r="CU319" s="17"/>
      <c r="CV319" s="17"/>
      <c r="CW319" s="17"/>
      <c r="CX319" s="17"/>
      <c r="CY319" s="17"/>
      <c r="CZ319" s="17"/>
      <c r="DA319" s="17"/>
      <c r="DB319" s="17"/>
      <c r="DC319" s="17"/>
      <c r="DD319" s="17"/>
      <c r="DE319" s="17"/>
      <c r="DF319" s="17"/>
      <c r="DG319" s="17"/>
      <c r="DH319" s="17"/>
      <c r="DI319" s="17"/>
      <c r="DJ319" s="17"/>
      <c r="DK319" s="17"/>
      <c r="DL319" s="17"/>
      <c r="DM319" s="17"/>
      <c r="DN319" s="17"/>
      <c r="DO319" s="17"/>
      <c r="DP319" s="17"/>
      <c r="DQ319" s="17"/>
      <c r="DR319" s="17"/>
      <c r="DS319" s="17"/>
      <c r="DT319" s="17"/>
      <c r="DU319" s="17"/>
      <c r="DV319" s="17"/>
      <c r="DW319" s="17"/>
      <c r="DX319" s="17"/>
      <c r="DY319" s="17"/>
      <c r="DZ319" s="17"/>
      <c r="EA319" s="17"/>
      <c r="EB319" s="17"/>
      <c r="EC319" s="17"/>
    </row>
    <row r="320" spans="1:133" x14ac:dyDescent="0.25">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17"/>
      <c r="CF320" s="17"/>
      <c r="CG320" s="17"/>
      <c r="CH320" s="17"/>
      <c r="CI320" s="17"/>
      <c r="CJ320" s="17"/>
      <c r="CK320" s="17"/>
      <c r="CL320" s="17"/>
      <c r="CM320" s="17"/>
      <c r="CN320" s="17"/>
      <c r="CO320" s="17"/>
      <c r="CP320" s="17"/>
      <c r="CQ320" s="17"/>
      <c r="CR320" s="17"/>
      <c r="CS320" s="17"/>
      <c r="CT320" s="17"/>
      <c r="CU320" s="17"/>
      <c r="CV320" s="17"/>
      <c r="CW320" s="17"/>
      <c r="CX320" s="17"/>
      <c r="CY320" s="17"/>
      <c r="CZ320" s="17"/>
      <c r="DA320" s="17"/>
      <c r="DB320" s="17"/>
      <c r="DC320" s="17"/>
      <c r="DD320" s="17"/>
      <c r="DE320" s="17"/>
      <c r="DF320" s="17"/>
      <c r="DG320" s="17"/>
      <c r="DH320" s="17"/>
      <c r="DI320" s="17"/>
      <c r="DJ320" s="17"/>
      <c r="DK320" s="17"/>
      <c r="DL320" s="17"/>
      <c r="DM320" s="17"/>
      <c r="DN320" s="17"/>
      <c r="DO320" s="17"/>
      <c r="DP320" s="17"/>
      <c r="DQ320" s="17"/>
      <c r="DR320" s="17"/>
      <c r="DS320" s="17"/>
      <c r="DT320" s="17"/>
      <c r="DU320" s="17"/>
      <c r="DV320" s="17"/>
      <c r="DW320" s="17"/>
      <c r="DX320" s="17"/>
      <c r="DY320" s="17"/>
      <c r="DZ320" s="17"/>
      <c r="EA320" s="17"/>
      <c r="EB320" s="17"/>
      <c r="EC320" s="17"/>
    </row>
    <row r="321" spans="1:133" x14ac:dyDescent="0.25">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7"/>
      <c r="BU321" s="17"/>
      <c r="BV321" s="17"/>
      <c r="BW321" s="17"/>
      <c r="BX321" s="17"/>
      <c r="BY321" s="17"/>
      <c r="BZ321" s="17"/>
      <c r="CA321" s="17"/>
      <c r="CB321" s="17"/>
      <c r="CC321" s="17"/>
      <c r="CD321" s="17"/>
      <c r="CE321" s="17"/>
      <c r="CF321" s="17"/>
      <c r="CG321" s="17"/>
      <c r="CH321" s="17"/>
      <c r="CI321" s="17"/>
      <c r="CJ321" s="17"/>
      <c r="CK321" s="17"/>
      <c r="CL321" s="17"/>
      <c r="CM321" s="17"/>
      <c r="CN321" s="17"/>
      <c r="CO321" s="17"/>
      <c r="CP321" s="17"/>
      <c r="CQ321" s="17"/>
      <c r="CR321" s="17"/>
      <c r="CS321" s="17"/>
      <c r="CT321" s="17"/>
      <c r="CU321" s="17"/>
      <c r="CV321" s="17"/>
      <c r="CW321" s="17"/>
      <c r="CX321" s="17"/>
      <c r="CY321" s="17"/>
      <c r="CZ321" s="17"/>
      <c r="DA321" s="17"/>
      <c r="DB321" s="17"/>
      <c r="DC321" s="17"/>
      <c r="DD321" s="17"/>
      <c r="DE321" s="17"/>
      <c r="DF321" s="17"/>
      <c r="DG321" s="17"/>
      <c r="DH321" s="17"/>
      <c r="DI321" s="17"/>
      <c r="DJ321" s="17"/>
      <c r="DK321" s="17"/>
      <c r="DL321" s="17"/>
      <c r="DM321" s="17"/>
      <c r="DN321" s="17"/>
      <c r="DO321" s="17"/>
      <c r="DP321" s="17"/>
      <c r="DQ321" s="17"/>
      <c r="DR321" s="17"/>
      <c r="DS321" s="17"/>
      <c r="DT321" s="17"/>
      <c r="DU321" s="17"/>
      <c r="DV321" s="17"/>
      <c r="DW321" s="17"/>
      <c r="DX321" s="17"/>
      <c r="DY321" s="17"/>
      <c r="DZ321" s="17"/>
      <c r="EA321" s="17"/>
      <c r="EB321" s="17"/>
      <c r="EC321" s="17"/>
    </row>
    <row r="322" spans="1:133" x14ac:dyDescent="0.25">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c r="BF322" s="17"/>
      <c r="BG322" s="17"/>
      <c r="BH322" s="17"/>
      <c r="BI322" s="17"/>
      <c r="BJ322" s="17"/>
      <c r="BK322" s="17"/>
      <c r="BL322" s="17"/>
      <c r="BM322" s="17"/>
      <c r="BN322" s="17"/>
      <c r="BO322" s="17"/>
      <c r="BP322" s="17"/>
      <c r="BQ322" s="17"/>
      <c r="BR322" s="17"/>
      <c r="BS322" s="17"/>
      <c r="BT322" s="17"/>
      <c r="BU322" s="17"/>
      <c r="BV322" s="17"/>
      <c r="BW322" s="17"/>
      <c r="BX322" s="17"/>
      <c r="BY322" s="17"/>
      <c r="BZ322" s="17"/>
      <c r="CA322" s="17"/>
      <c r="CB322" s="17"/>
      <c r="CC322" s="17"/>
      <c r="CD322" s="17"/>
      <c r="CE322" s="17"/>
      <c r="CF322" s="17"/>
      <c r="CG322" s="17"/>
      <c r="CH322" s="17"/>
      <c r="CI322" s="17"/>
      <c r="CJ322" s="17"/>
      <c r="CK322" s="17"/>
      <c r="CL322" s="17"/>
      <c r="CM322" s="17"/>
      <c r="CN322" s="17"/>
      <c r="CO322" s="17"/>
      <c r="CP322" s="17"/>
      <c r="CQ322" s="17"/>
      <c r="CR322" s="17"/>
      <c r="CS322" s="17"/>
      <c r="CT322" s="17"/>
      <c r="CU322" s="17"/>
      <c r="CV322" s="17"/>
      <c r="CW322" s="17"/>
      <c r="CX322" s="17"/>
      <c r="CY322" s="17"/>
      <c r="CZ322" s="17"/>
      <c r="DA322" s="17"/>
      <c r="DB322" s="17"/>
      <c r="DC322" s="17"/>
      <c r="DD322" s="17"/>
      <c r="DE322" s="17"/>
      <c r="DF322" s="17"/>
      <c r="DG322" s="17"/>
      <c r="DH322" s="17"/>
      <c r="DI322" s="17"/>
      <c r="DJ322" s="17"/>
      <c r="DK322" s="17"/>
      <c r="DL322" s="17"/>
      <c r="DM322" s="17"/>
      <c r="DN322" s="17"/>
      <c r="DO322" s="17"/>
      <c r="DP322" s="17"/>
      <c r="DQ322" s="17"/>
      <c r="DR322" s="17"/>
      <c r="DS322" s="17"/>
      <c r="DT322" s="17"/>
      <c r="DU322" s="17"/>
      <c r="DV322" s="17"/>
      <c r="DW322" s="17"/>
      <c r="DX322" s="17"/>
      <c r="DY322" s="17"/>
      <c r="DZ322" s="17"/>
      <c r="EA322" s="17"/>
      <c r="EB322" s="17"/>
      <c r="EC322" s="17"/>
    </row>
    <row r="323" spans="1:133" x14ac:dyDescent="0.25">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c r="BF323" s="17"/>
      <c r="BG323" s="17"/>
      <c r="BH323" s="17"/>
      <c r="BI323" s="17"/>
      <c r="BJ323" s="17"/>
      <c r="BK323" s="17"/>
      <c r="BL323" s="17"/>
      <c r="BM323" s="17"/>
      <c r="BN323" s="17"/>
      <c r="BO323" s="17"/>
      <c r="BP323" s="17"/>
      <c r="BQ323" s="17"/>
      <c r="BR323" s="17"/>
      <c r="BS323" s="17"/>
      <c r="BT323" s="17"/>
      <c r="BU323" s="17"/>
      <c r="BV323" s="17"/>
      <c r="BW323" s="17"/>
      <c r="BX323" s="17"/>
      <c r="BY323" s="17"/>
      <c r="BZ323" s="17"/>
      <c r="CA323" s="17"/>
      <c r="CB323" s="17"/>
      <c r="CC323" s="17"/>
      <c r="CD323" s="17"/>
      <c r="CE323" s="17"/>
      <c r="CF323" s="17"/>
      <c r="CG323" s="17"/>
      <c r="CH323" s="17"/>
      <c r="CI323" s="17"/>
      <c r="CJ323" s="17"/>
      <c r="CK323" s="17"/>
      <c r="CL323" s="17"/>
      <c r="CM323" s="17"/>
      <c r="CN323" s="17"/>
      <c r="CO323" s="17"/>
      <c r="CP323" s="17"/>
      <c r="CQ323" s="17"/>
      <c r="CR323" s="17"/>
      <c r="CS323" s="17"/>
      <c r="CT323" s="17"/>
      <c r="CU323" s="17"/>
      <c r="CV323" s="17"/>
      <c r="CW323" s="17"/>
      <c r="CX323" s="17"/>
      <c r="CY323" s="17"/>
      <c r="CZ323" s="17"/>
      <c r="DA323" s="17"/>
      <c r="DB323" s="17"/>
      <c r="DC323" s="17"/>
      <c r="DD323" s="17"/>
      <c r="DE323" s="17"/>
      <c r="DF323" s="17"/>
      <c r="DG323" s="17"/>
      <c r="DH323" s="17"/>
      <c r="DI323" s="17"/>
      <c r="DJ323" s="17"/>
      <c r="DK323" s="17"/>
      <c r="DL323" s="17"/>
      <c r="DM323" s="17"/>
      <c r="DN323" s="17"/>
      <c r="DO323" s="17"/>
      <c r="DP323" s="17"/>
      <c r="DQ323" s="17"/>
      <c r="DR323" s="17"/>
      <c r="DS323" s="17"/>
      <c r="DT323" s="17"/>
      <c r="DU323" s="17"/>
      <c r="DV323" s="17"/>
      <c r="DW323" s="17"/>
      <c r="DX323" s="17"/>
      <c r="DY323" s="17"/>
      <c r="DZ323" s="17"/>
      <c r="EA323" s="17"/>
      <c r="EB323" s="17"/>
      <c r="EC323" s="17"/>
    </row>
    <row r="324" spans="1:133" x14ac:dyDescent="0.25">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c r="BF324" s="17"/>
      <c r="BG324" s="17"/>
      <c r="BH324" s="17"/>
      <c r="BI324" s="17"/>
      <c r="BJ324" s="17"/>
      <c r="BK324" s="17"/>
      <c r="BL324" s="17"/>
      <c r="BM324" s="17"/>
      <c r="BN324" s="17"/>
      <c r="BO324" s="17"/>
      <c r="BP324" s="17"/>
      <c r="BQ324" s="17"/>
      <c r="BR324" s="17"/>
      <c r="BS324" s="17"/>
      <c r="BT324" s="17"/>
      <c r="BU324" s="17"/>
      <c r="BV324" s="17"/>
      <c r="BW324" s="17"/>
      <c r="BX324" s="17"/>
      <c r="BY324" s="17"/>
      <c r="BZ324" s="17"/>
      <c r="CA324" s="17"/>
      <c r="CB324" s="17"/>
      <c r="CC324" s="17"/>
      <c r="CD324" s="17"/>
      <c r="CE324" s="17"/>
      <c r="CF324" s="17"/>
      <c r="CG324" s="17"/>
      <c r="CH324" s="17"/>
      <c r="CI324" s="17"/>
      <c r="CJ324" s="17"/>
      <c r="CK324" s="17"/>
      <c r="CL324" s="17"/>
      <c r="CM324" s="17"/>
      <c r="CN324" s="17"/>
      <c r="CO324" s="17"/>
      <c r="CP324" s="17"/>
      <c r="CQ324" s="17"/>
      <c r="CR324" s="17"/>
      <c r="CS324" s="17"/>
      <c r="CT324" s="17"/>
      <c r="CU324" s="17"/>
      <c r="CV324" s="17"/>
      <c r="CW324" s="17"/>
      <c r="CX324" s="17"/>
      <c r="CY324" s="17"/>
      <c r="CZ324" s="17"/>
      <c r="DA324" s="17"/>
      <c r="DB324" s="17"/>
      <c r="DC324" s="17"/>
      <c r="DD324" s="17"/>
      <c r="DE324" s="17"/>
      <c r="DF324" s="17"/>
      <c r="DG324" s="17"/>
      <c r="DH324" s="17"/>
      <c r="DI324" s="17"/>
      <c r="DJ324" s="17"/>
      <c r="DK324" s="17"/>
      <c r="DL324" s="17"/>
      <c r="DM324" s="17"/>
      <c r="DN324" s="17"/>
      <c r="DO324" s="17"/>
      <c r="DP324" s="17"/>
      <c r="DQ324" s="17"/>
      <c r="DR324" s="17"/>
      <c r="DS324" s="17"/>
      <c r="DT324" s="17"/>
      <c r="DU324" s="17"/>
      <c r="DV324" s="17"/>
      <c r="DW324" s="17"/>
      <c r="DX324" s="17"/>
      <c r="DY324" s="17"/>
      <c r="DZ324" s="17"/>
      <c r="EA324" s="17"/>
      <c r="EB324" s="17"/>
      <c r="EC324" s="17"/>
    </row>
    <row r="325" spans="1:133" x14ac:dyDescent="0.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c r="BF325" s="17"/>
      <c r="BG325" s="17"/>
      <c r="BH325" s="17"/>
      <c r="BI325" s="17"/>
      <c r="BJ325" s="17"/>
      <c r="BK325" s="17"/>
      <c r="BL325" s="17"/>
      <c r="BM325" s="17"/>
      <c r="BN325" s="17"/>
      <c r="BO325" s="17"/>
      <c r="BP325" s="17"/>
      <c r="BQ325" s="17"/>
      <c r="BR325" s="17"/>
      <c r="BS325" s="17"/>
      <c r="BT325" s="17"/>
      <c r="BU325" s="17"/>
      <c r="BV325" s="17"/>
      <c r="BW325" s="17"/>
      <c r="BX325" s="17"/>
      <c r="BY325" s="17"/>
      <c r="BZ325" s="17"/>
      <c r="CA325" s="17"/>
      <c r="CB325" s="17"/>
      <c r="CC325" s="17"/>
      <c r="CD325" s="17"/>
      <c r="CE325" s="17"/>
      <c r="CF325" s="17"/>
      <c r="CG325" s="17"/>
      <c r="CH325" s="17"/>
      <c r="CI325" s="17"/>
      <c r="CJ325" s="17"/>
      <c r="CK325" s="17"/>
      <c r="CL325" s="17"/>
      <c r="CM325" s="17"/>
      <c r="CN325" s="17"/>
      <c r="CO325" s="17"/>
      <c r="CP325" s="17"/>
      <c r="CQ325" s="17"/>
      <c r="CR325" s="17"/>
      <c r="CS325" s="17"/>
      <c r="CT325" s="17"/>
      <c r="CU325" s="17"/>
      <c r="CV325" s="17"/>
      <c r="CW325" s="17"/>
      <c r="CX325" s="17"/>
      <c r="CY325" s="17"/>
      <c r="CZ325" s="17"/>
      <c r="DA325" s="17"/>
      <c r="DB325" s="17"/>
      <c r="DC325" s="17"/>
      <c r="DD325" s="17"/>
      <c r="DE325" s="17"/>
      <c r="DF325" s="17"/>
      <c r="DG325" s="17"/>
      <c r="DH325" s="17"/>
      <c r="DI325" s="17"/>
      <c r="DJ325" s="17"/>
      <c r="DK325" s="17"/>
      <c r="DL325" s="17"/>
      <c r="DM325" s="17"/>
      <c r="DN325" s="17"/>
      <c r="DO325" s="17"/>
      <c r="DP325" s="17"/>
      <c r="DQ325" s="17"/>
      <c r="DR325" s="17"/>
      <c r="DS325" s="17"/>
      <c r="DT325" s="17"/>
      <c r="DU325" s="17"/>
      <c r="DV325" s="17"/>
      <c r="DW325" s="17"/>
      <c r="DX325" s="17"/>
      <c r="DY325" s="17"/>
      <c r="DZ325" s="17"/>
      <c r="EA325" s="17"/>
      <c r="EB325" s="17"/>
      <c r="EC325" s="17"/>
    </row>
    <row r="326" spans="1:133" x14ac:dyDescent="0.25">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c r="BF326" s="17"/>
      <c r="BG326" s="17"/>
      <c r="BH326" s="17"/>
      <c r="BI326" s="17"/>
      <c r="BJ326" s="17"/>
      <c r="BK326" s="17"/>
      <c r="BL326" s="17"/>
      <c r="BM326" s="17"/>
      <c r="BN326" s="17"/>
      <c r="BO326" s="17"/>
      <c r="BP326" s="17"/>
      <c r="BQ326" s="17"/>
      <c r="BR326" s="17"/>
      <c r="BS326" s="17"/>
      <c r="BT326" s="17"/>
      <c r="BU326" s="17"/>
      <c r="BV326" s="17"/>
      <c r="BW326" s="17"/>
      <c r="BX326" s="17"/>
      <c r="BY326" s="17"/>
      <c r="BZ326" s="17"/>
      <c r="CA326" s="17"/>
      <c r="CB326" s="17"/>
      <c r="CC326" s="17"/>
      <c r="CD326" s="17"/>
      <c r="CE326" s="17"/>
      <c r="CF326" s="17"/>
      <c r="CG326" s="17"/>
      <c r="CH326" s="17"/>
      <c r="CI326" s="17"/>
      <c r="CJ326" s="17"/>
      <c r="CK326" s="17"/>
      <c r="CL326" s="17"/>
      <c r="CM326" s="17"/>
      <c r="CN326" s="17"/>
      <c r="CO326" s="17"/>
      <c r="CP326" s="17"/>
      <c r="CQ326" s="17"/>
      <c r="CR326" s="17"/>
      <c r="CS326" s="17"/>
      <c r="CT326" s="17"/>
      <c r="CU326" s="17"/>
      <c r="CV326" s="17"/>
      <c r="CW326" s="17"/>
      <c r="CX326" s="17"/>
      <c r="CY326" s="17"/>
      <c r="CZ326" s="17"/>
      <c r="DA326" s="17"/>
      <c r="DB326" s="17"/>
      <c r="DC326" s="17"/>
      <c r="DD326" s="17"/>
      <c r="DE326" s="17"/>
      <c r="DF326" s="17"/>
      <c r="DG326" s="17"/>
      <c r="DH326" s="17"/>
      <c r="DI326" s="17"/>
      <c r="DJ326" s="17"/>
      <c r="DK326" s="17"/>
      <c r="DL326" s="17"/>
      <c r="DM326" s="17"/>
      <c r="DN326" s="17"/>
      <c r="DO326" s="17"/>
      <c r="DP326" s="17"/>
      <c r="DQ326" s="17"/>
      <c r="DR326" s="17"/>
      <c r="DS326" s="17"/>
      <c r="DT326" s="17"/>
      <c r="DU326" s="17"/>
      <c r="DV326" s="17"/>
      <c r="DW326" s="17"/>
      <c r="DX326" s="17"/>
      <c r="DY326" s="17"/>
      <c r="DZ326" s="17"/>
      <c r="EA326" s="17"/>
      <c r="EB326" s="17"/>
      <c r="EC326" s="17"/>
    </row>
    <row r="327" spans="1:133" x14ac:dyDescent="0.25">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c r="BF327" s="17"/>
      <c r="BG327" s="17"/>
      <c r="BH327" s="17"/>
      <c r="BI327" s="17"/>
      <c r="BJ327" s="17"/>
      <c r="BK327" s="17"/>
      <c r="BL327" s="17"/>
      <c r="BM327" s="17"/>
      <c r="BN327" s="17"/>
      <c r="BO327" s="17"/>
      <c r="BP327" s="17"/>
      <c r="BQ327" s="17"/>
      <c r="BR327" s="17"/>
      <c r="BS327" s="17"/>
      <c r="BT327" s="17"/>
      <c r="BU327" s="17"/>
      <c r="BV327" s="17"/>
      <c r="BW327" s="17"/>
      <c r="BX327" s="17"/>
      <c r="BY327" s="17"/>
      <c r="BZ327" s="17"/>
      <c r="CA327" s="17"/>
      <c r="CB327" s="17"/>
      <c r="CC327" s="17"/>
      <c r="CD327" s="17"/>
      <c r="CE327" s="17"/>
      <c r="CF327" s="17"/>
      <c r="CG327" s="17"/>
      <c r="CH327" s="17"/>
      <c r="CI327" s="17"/>
      <c r="CJ327" s="17"/>
      <c r="CK327" s="17"/>
      <c r="CL327" s="17"/>
      <c r="CM327" s="17"/>
      <c r="CN327" s="17"/>
      <c r="CO327" s="17"/>
      <c r="CP327" s="17"/>
      <c r="CQ327" s="17"/>
      <c r="CR327" s="17"/>
      <c r="CS327" s="17"/>
      <c r="CT327" s="17"/>
      <c r="CU327" s="17"/>
      <c r="CV327" s="17"/>
      <c r="CW327" s="17"/>
      <c r="CX327" s="17"/>
      <c r="CY327" s="17"/>
      <c r="CZ327" s="17"/>
      <c r="DA327" s="17"/>
      <c r="DB327" s="17"/>
      <c r="DC327" s="17"/>
      <c r="DD327" s="17"/>
      <c r="DE327" s="17"/>
      <c r="DF327" s="17"/>
      <c r="DG327" s="17"/>
      <c r="DH327" s="17"/>
      <c r="DI327" s="17"/>
      <c r="DJ327" s="17"/>
      <c r="DK327" s="17"/>
      <c r="DL327" s="17"/>
      <c r="DM327" s="17"/>
      <c r="DN327" s="17"/>
      <c r="DO327" s="17"/>
      <c r="DP327" s="17"/>
      <c r="DQ327" s="17"/>
      <c r="DR327" s="17"/>
      <c r="DS327" s="17"/>
      <c r="DT327" s="17"/>
      <c r="DU327" s="17"/>
      <c r="DV327" s="17"/>
      <c r="DW327" s="17"/>
      <c r="DX327" s="17"/>
      <c r="DY327" s="17"/>
      <c r="DZ327" s="17"/>
      <c r="EA327" s="17"/>
      <c r="EB327" s="17"/>
      <c r="EC327" s="17"/>
    </row>
    <row r="328" spans="1:133" x14ac:dyDescent="0.25">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c r="BF328" s="17"/>
      <c r="BG328" s="17"/>
      <c r="BH328" s="17"/>
      <c r="BI328" s="17"/>
      <c r="BJ328" s="17"/>
      <c r="BK328" s="17"/>
      <c r="BL328" s="17"/>
      <c r="BM328" s="17"/>
      <c r="BN328" s="17"/>
      <c r="BO328" s="17"/>
      <c r="BP328" s="17"/>
      <c r="BQ328" s="17"/>
      <c r="BR328" s="17"/>
      <c r="BS328" s="17"/>
      <c r="BT328" s="17"/>
      <c r="BU328" s="17"/>
      <c r="BV328" s="17"/>
      <c r="BW328" s="17"/>
      <c r="BX328" s="17"/>
      <c r="BY328" s="17"/>
      <c r="BZ328" s="17"/>
      <c r="CA328" s="17"/>
      <c r="CB328" s="17"/>
      <c r="CC328" s="17"/>
      <c r="CD328" s="17"/>
      <c r="CE328" s="17"/>
      <c r="CF328" s="17"/>
      <c r="CG328" s="17"/>
      <c r="CH328" s="17"/>
      <c r="CI328" s="17"/>
      <c r="CJ328" s="17"/>
      <c r="CK328" s="17"/>
      <c r="CL328" s="17"/>
      <c r="CM328" s="17"/>
      <c r="CN328" s="17"/>
      <c r="CO328" s="17"/>
      <c r="CP328" s="17"/>
      <c r="CQ328" s="17"/>
      <c r="CR328" s="17"/>
      <c r="CS328" s="17"/>
      <c r="CT328" s="17"/>
      <c r="CU328" s="17"/>
      <c r="CV328" s="17"/>
      <c r="CW328" s="17"/>
      <c r="CX328" s="17"/>
      <c r="CY328" s="17"/>
      <c r="CZ328" s="17"/>
      <c r="DA328" s="17"/>
      <c r="DB328" s="17"/>
      <c r="DC328" s="17"/>
      <c r="DD328" s="17"/>
      <c r="DE328" s="17"/>
      <c r="DF328" s="17"/>
      <c r="DG328" s="17"/>
      <c r="DH328" s="17"/>
      <c r="DI328" s="17"/>
      <c r="DJ328" s="17"/>
      <c r="DK328" s="17"/>
      <c r="DL328" s="17"/>
      <c r="DM328" s="17"/>
      <c r="DN328" s="17"/>
      <c r="DO328" s="17"/>
      <c r="DP328" s="17"/>
      <c r="DQ328" s="17"/>
      <c r="DR328" s="17"/>
      <c r="DS328" s="17"/>
      <c r="DT328" s="17"/>
      <c r="DU328" s="17"/>
      <c r="DV328" s="17"/>
      <c r="DW328" s="17"/>
      <c r="DX328" s="17"/>
      <c r="DY328" s="17"/>
      <c r="DZ328" s="17"/>
      <c r="EA328" s="17"/>
      <c r="EB328" s="17"/>
      <c r="EC328" s="17"/>
    </row>
    <row r="329" spans="1:133" x14ac:dyDescent="0.25">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c r="BF329" s="17"/>
      <c r="BG329" s="17"/>
      <c r="BH329" s="17"/>
      <c r="BI329" s="17"/>
      <c r="BJ329" s="17"/>
      <c r="BK329" s="17"/>
      <c r="BL329" s="17"/>
      <c r="BM329" s="17"/>
      <c r="BN329" s="17"/>
      <c r="BO329" s="17"/>
      <c r="BP329" s="17"/>
      <c r="BQ329" s="17"/>
      <c r="BR329" s="17"/>
      <c r="BS329" s="17"/>
      <c r="BT329" s="17"/>
      <c r="BU329" s="17"/>
      <c r="BV329" s="17"/>
      <c r="BW329" s="17"/>
      <c r="BX329" s="17"/>
      <c r="BY329" s="17"/>
      <c r="BZ329" s="17"/>
      <c r="CA329" s="17"/>
      <c r="CB329" s="17"/>
      <c r="CC329" s="17"/>
      <c r="CD329" s="17"/>
      <c r="CE329" s="17"/>
      <c r="CF329" s="17"/>
      <c r="CG329" s="17"/>
      <c r="CH329" s="17"/>
      <c r="CI329" s="17"/>
      <c r="CJ329" s="17"/>
      <c r="CK329" s="17"/>
      <c r="CL329" s="17"/>
      <c r="CM329" s="17"/>
      <c r="CN329" s="17"/>
      <c r="CO329" s="17"/>
      <c r="CP329" s="17"/>
      <c r="CQ329" s="17"/>
      <c r="CR329" s="17"/>
      <c r="CS329" s="17"/>
      <c r="CT329" s="17"/>
      <c r="CU329" s="17"/>
      <c r="CV329" s="17"/>
      <c r="CW329" s="17"/>
      <c r="CX329" s="17"/>
      <c r="CY329" s="17"/>
      <c r="CZ329" s="17"/>
      <c r="DA329" s="17"/>
      <c r="DB329" s="17"/>
      <c r="DC329" s="17"/>
      <c r="DD329" s="17"/>
      <c r="DE329" s="17"/>
      <c r="DF329" s="17"/>
      <c r="DG329" s="17"/>
      <c r="DH329" s="17"/>
      <c r="DI329" s="17"/>
      <c r="DJ329" s="17"/>
      <c r="DK329" s="17"/>
      <c r="DL329" s="17"/>
      <c r="DM329" s="17"/>
      <c r="DN329" s="17"/>
      <c r="DO329" s="17"/>
      <c r="DP329" s="17"/>
      <c r="DQ329" s="17"/>
      <c r="DR329" s="17"/>
      <c r="DS329" s="17"/>
      <c r="DT329" s="17"/>
      <c r="DU329" s="17"/>
      <c r="DV329" s="17"/>
      <c r="DW329" s="17"/>
      <c r="DX329" s="17"/>
      <c r="DY329" s="17"/>
      <c r="DZ329" s="17"/>
      <c r="EA329" s="17"/>
      <c r="EB329" s="17"/>
      <c r="EC329" s="17"/>
    </row>
    <row r="330" spans="1:133" x14ac:dyDescent="0.25">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c r="BF330" s="17"/>
      <c r="BG330" s="17"/>
      <c r="BH330" s="17"/>
      <c r="BI330" s="17"/>
      <c r="BJ330" s="17"/>
      <c r="BK330" s="17"/>
      <c r="BL330" s="17"/>
      <c r="BM330" s="17"/>
      <c r="BN330" s="17"/>
      <c r="BO330" s="17"/>
      <c r="BP330" s="17"/>
      <c r="BQ330" s="17"/>
      <c r="BR330" s="17"/>
      <c r="BS330" s="17"/>
      <c r="BT330" s="17"/>
      <c r="BU330" s="17"/>
      <c r="BV330" s="17"/>
      <c r="BW330" s="17"/>
      <c r="BX330" s="17"/>
      <c r="BY330" s="17"/>
      <c r="BZ330" s="17"/>
      <c r="CA330" s="17"/>
      <c r="CB330" s="17"/>
      <c r="CC330" s="17"/>
      <c r="CD330" s="17"/>
      <c r="CE330" s="17"/>
      <c r="CF330" s="17"/>
      <c r="CG330" s="17"/>
      <c r="CH330" s="17"/>
      <c r="CI330" s="17"/>
      <c r="CJ330" s="17"/>
      <c r="CK330" s="17"/>
      <c r="CL330" s="17"/>
      <c r="CM330" s="17"/>
      <c r="CN330" s="17"/>
      <c r="CO330" s="17"/>
      <c r="CP330" s="17"/>
      <c r="CQ330" s="17"/>
      <c r="CR330" s="17"/>
      <c r="CS330" s="17"/>
      <c r="CT330" s="17"/>
      <c r="CU330" s="17"/>
      <c r="CV330" s="17"/>
      <c r="CW330" s="17"/>
      <c r="CX330" s="17"/>
      <c r="CY330" s="17"/>
      <c r="CZ330" s="17"/>
      <c r="DA330" s="17"/>
      <c r="DB330" s="17"/>
      <c r="DC330" s="17"/>
      <c r="DD330" s="17"/>
      <c r="DE330" s="17"/>
      <c r="DF330" s="17"/>
      <c r="DG330" s="17"/>
      <c r="DH330" s="17"/>
      <c r="DI330" s="17"/>
      <c r="DJ330" s="17"/>
      <c r="DK330" s="17"/>
      <c r="DL330" s="17"/>
      <c r="DM330" s="17"/>
      <c r="DN330" s="17"/>
      <c r="DO330" s="17"/>
      <c r="DP330" s="17"/>
      <c r="DQ330" s="17"/>
      <c r="DR330" s="17"/>
      <c r="DS330" s="17"/>
      <c r="DT330" s="17"/>
      <c r="DU330" s="17"/>
      <c r="DV330" s="17"/>
      <c r="DW330" s="17"/>
      <c r="DX330" s="17"/>
      <c r="DY330" s="17"/>
      <c r="DZ330" s="17"/>
      <c r="EA330" s="17"/>
      <c r="EB330" s="17"/>
      <c r="EC330" s="17"/>
    </row>
    <row r="331" spans="1:133" x14ac:dyDescent="0.25">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c r="BF331" s="17"/>
      <c r="BG331" s="17"/>
      <c r="BH331" s="17"/>
      <c r="BI331" s="17"/>
      <c r="BJ331" s="17"/>
      <c r="BK331" s="17"/>
      <c r="BL331" s="17"/>
      <c r="BM331" s="17"/>
      <c r="BN331" s="17"/>
      <c r="BO331" s="17"/>
      <c r="BP331" s="17"/>
      <c r="BQ331" s="17"/>
      <c r="BR331" s="17"/>
      <c r="BS331" s="17"/>
      <c r="BT331" s="17"/>
      <c r="BU331" s="17"/>
      <c r="BV331" s="17"/>
      <c r="BW331" s="17"/>
      <c r="BX331" s="17"/>
      <c r="BY331" s="17"/>
      <c r="BZ331" s="17"/>
      <c r="CA331" s="17"/>
      <c r="CB331" s="17"/>
      <c r="CC331" s="17"/>
      <c r="CD331" s="17"/>
      <c r="CE331" s="17"/>
      <c r="CF331" s="17"/>
      <c r="CG331" s="17"/>
      <c r="CH331" s="17"/>
      <c r="CI331" s="17"/>
      <c r="CJ331" s="17"/>
      <c r="CK331" s="17"/>
      <c r="CL331" s="17"/>
      <c r="CM331" s="17"/>
      <c r="CN331" s="17"/>
      <c r="CO331" s="17"/>
      <c r="CP331" s="17"/>
      <c r="CQ331" s="17"/>
      <c r="CR331" s="17"/>
      <c r="CS331" s="17"/>
      <c r="CT331" s="17"/>
      <c r="CU331" s="17"/>
      <c r="CV331" s="17"/>
      <c r="CW331" s="17"/>
      <c r="CX331" s="17"/>
      <c r="CY331" s="17"/>
      <c r="CZ331" s="17"/>
      <c r="DA331" s="17"/>
      <c r="DB331" s="17"/>
      <c r="DC331" s="17"/>
      <c r="DD331" s="17"/>
      <c r="DE331" s="17"/>
      <c r="DF331" s="17"/>
      <c r="DG331" s="17"/>
      <c r="DH331" s="17"/>
      <c r="DI331" s="17"/>
      <c r="DJ331" s="17"/>
      <c r="DK331" s="17"/>
      <c r="DL331" s="17"/>
      <c r="DM331" s="17"/>
      <c r="DN331" s="17"/>
      <c r="DO331" s="17"/>
      <c r="DP331" s="17"/>
      <c r="DQ331" s="17"/>
      <c r="DR331" s="17"/>
      <c r="DS331" s="17"/>
      <c r="DT331" s="17"/>
      <c r="DU331" s="17"/>
      <c r="DV331" s="17"/>
      <c r="DW331" s="17"/>
      <c r="DX331" s="17"/>
      <c r="DY331" s="17"/>
      <c r="DZ331" s="17"/>
      <c r="EA331" s="17"/>
      <c r="EB331" s="17"/>
      <c r="EC331" s="17"/>
    </row>
    <row r="332" spans="1:133" x14ac:dyDescent="0.25">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c r="BF332" s="17"/>
      <c r="BG332" s="17"/>
      <c r="BH332" s="17"/>
      <c r="BI332" s="17"/>
      <c r="BJ332" s="17"/>
      <c r="BK332" s="17"/>
      <c r="BL332" s="17"/>
      <c r="BM332" s="17"/>
      <c r="BN332" s="17"/>
      <c r="BO332" s="17"/>
      <c r="BP332" s="17"/>
      <c r="BQ332" s="17"/>
      <c r="BR332" s="17"/>
      <c r="BS332" s="17"/>
      <c r="BT332" s="17"/>
      <c r="BU332" s="17"/>
      <c r="BV332" s="17"/>
      <c r="BW332" s="17"/>
      <c r="BX332" s="17"/>
      <c r="BY332" s="17"/>
      <c r="BZ332" s="17"/>
      <c r="CA332" s="17"/>
      <c r="CB332" s="17"/>
      <c r="CC332" s="17"/>
      <c r="CD332" s="17"/>
      <c r="CE332" s="17"/>
      <c r="CF332" s="17"/>
      <c r="CG332" s="17"/>
      <c r="CH332" s="17"/>
      <c r="CI332" s="17"/>
      <c r="CJ332" s="17"/>
      <c r="CK332" s="17"/>
      <c r="CL332" s="17"/>
      <c r="CM332" s="17"/>
      <c r="CN332" s="17"/>
      <c r="CO332" s="17"/>
      <c r="CP332" s="17"/>
      <c r="CQ332" s="17"/>
      <c r="CR332" s="17"/>
      <c r="CS332" s="17"/>
      <c r="CT332" s="17"/>
      <c r="CU332" s="17"/>
      <c r="CV332" s="17"/>
      <c r="CW332" s="17"/>
      <c r="CX332" s="17"/>
      <c r="CY332" s="17"/>
      <c r="CZ332" s="17"/>
      <c r="DA332" s="17"/>
      <c r="DB332" s="17"/>
      <c r="DC332" s="17"/>
      <c r="DD332" s="17"/>
      <c r="DE332" s="17"/>
      <c r="DF332" s="17"/>
      <c r="DG332" s="17"/>
      <c r="DH332" s="17"/>
      <c r="DI332" s="17"/>
      <c r="DJ332" s="17"/>
      <c r="DK332" s="17"/>
      <c r="DL332" s="17"/>
      <c r="DM332" s="17"/>
      <c r="DN332" s="17"/>
      <c r="DO332" s="17"/>
      <c r="DP332" s="17"/>
      <c r="DQ332" s="17"/>
      <c r="DR332" s="17"/>
      <c r="DS332" s="17"/>
      <c r="DT332" s="17"/>
      <c r="DU332" s="17"/>
      <c r="DV332" s="17"/>
      <c r="DW332" s="17"/>
      <c r="DX332" s="17"/>
      <c r="DY332" s="17"/>
      <c r="DZ332" s="17"/>
      <c r="EA332" s="17"/>
      <c r="EB332" s="17"/>
      <c r="EC332" s="17"/>
    </row>
    <row r="333" spans="1:133" x14ac:dyDescent="0.25">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c r="BF333" s="17"/>
      <c r="BG333" s="17"/>
      <c r="BH333" s="17"/>
      <c r="BI333" s="17"/>
      <c r="BJ333" s="17"/>
      <c r="BK333" s="17"/>
      <c r="BL333" s="17"/>
      <c r="BM333" s="17"/>
      <c r="BN333" s="17"/>
      <c r="BO333" s="17"/>
      <c r="BP333" s="17"/>
      <c r="BQ333" s="17"/>
      <c r="BR333" s="17"/>
      <c r="BS333" s="17"/>
      <c r="BT333" s="17"/>
      <c r="BU333" s="17"/>
      <c r="BV333" s="17"/>
      <c r="BW333" s="17"/>
      <c r="BX333" s="17"/>
      <c r="BY333" s="17"/>
      <c r="BZ333" s="17"/>
      <c r="CA333" s="17"/>
      <c r="CB333" s="17"/>
      <c r="CC333" s="17"/>
      <c r="CD333" s="17"/>
      <c r="CE333" s="17"/>
      <c r="CF333" s="17"/>
      <c r="CG333" s="17"/>
      <c r="CH333" s="17"/>
      <c r="CI333" s="17"/>
      <c r="CJ333" s="17"/>
      <c r="CK333" s="17"/>
      <c r="CL333" s="17"/>
      <c r="CM333" s="17"/>
      <c r="CN333" s="17"/>
      <c r="CO333" s="17"/>
      <c r="CP333" s="17"/>
      <c r="CQ333" s="17"/>
      <c r="CR333" s="17"/>
      <c r="CS333" s="17"/>
      <c r="CT333" s="17"/>
      <c r="CU333" s="17"/>
      <c r="CV333" s="17"/>
      <c r="CW333" s="17"/>
      <c r="CX333" s="17"/>
      <c r="CY333" s="17"/>
      <c r="CZ333" s="17"/>
      <c r="DA333" s="17"/>
      <c r="DB333" s="17"/>
      <c r="DC333" s="17"/>
      <c r="DD333" s="17"/>
      <c r="DE333" s="17"/>
      <c r="DF333" s="17"/>
      <c r="DG333" s="17"/>
      <c r="DH333" s="17"/>
      <c r="DI333" s="17"/>
      <c r="DJ333" s="17"/>
      <c r="DK333" s="17"/>
      <c r="DL333" s="17"/>
      <c r="DM333" s="17"/>
      <c r="DN333" s="17"/>
      <c r="DO333" s="17"/>
      <c r="DP333" s="17"/>
      <c r="DQ333" s="17"/>
      <c r="DR333" s="17"/>
      <c r="DS333" s="17"/>
      <c r="DT333" s="17"/>
      <c r="DU333" s="17"/>
      <c r="DV333" s="17"/>
      <c r="DW333" s="17"/>
      <c r="DX333" s="17"/>
      <c r="DY333" s="17"/>
      <c r="DZ333" s="17"/>
      <c r="EA333" s="17"/>
      <c r="EB333" s="17"/>
      <c r="EC333" s="17"/>
    </row>
    <row r="334" spans="1:133" x14ac:dyDescent="0.25">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c r="BD334" s="17"/>
      <c r="BE334" s="17"/>
      <c r="BF334" s="17"/>
      <c r="BG334" s="17"/>
      <c r="BH334" s="17"/>
      <c r="BI334" s="17"/>
      <c r="BJ334" s="17"/>
      <c r="BK334" s="17"/>
      <c r="BL334" s="17"/>
      <c r="BM334" s="17"/>
      <c r="BN334" s="17"/>
      <c r="BO334" s="17"/>
      <c r="BP334" s="17"/>
      <c r="BQ334" s="17"/>
      <c r="BR334" s="17"/>
      <c r="BS334" s="17"/>
      <c r="BT334" s="17"/>
      <c r="BU334" s="17"/>
      <c r="BV334" s="17"/>
      <c r="BW334" s="17"/>
      <c r="BX334" s="17"/>
      <c r="BY334" s="17"/>
      <c r="BZ334" s="17"/>
      <c r="CA334" s="17"/>
      <c r="CB334" s="17"/>
      <c r="CC334" s="17"/>
      <c r="CD334" s="17"/>
      <c r="CE334" s="17"/>
      <c r="CF334" s="17"/>
      <c r="CG334" s="17"/>
      <c r="CH334" s="17"/>
      <c r="CI334" s="17"/>
      <c r="CJ334" s="17"/>
      <c r="CK334" s="17"/>
      <c r="CL334" s="17"/>
      <c r="CM334" s="17"/>
      <c r="CN334" s="17"/>
      <c r="CO334" s="17"/>
      <c r="CP334" s="17"/>
      <c r="CQ334" s="17"/>
      <c r="CR334" s="17"/>
      <c r="CS334" s="17"/>
      <c r="CT334" s="17"/>
      <c r="CU334" s="17"/>
      <c r="CV334" s="17"/>
      <c r="CW334" s="17"/>
      <c r="CX334" s="17"/>
      <c r="CY334" s="17"/>
      <c r="CZ334" s="17"/>
      <c r="DA334" s="17"/>
      <c r="DB334" s="17"/>
      <c r="DC334" s="17"/>
      <c r="DD334" s="17"/>
      <c r="DE334" s="17"/>
      <c r="DF334" s="17"/>
      <c r="DG334" s="17"/>
      <c r="DH334" s="17"/>
      <c r="DI334" s="17"/>
      <c r="DJ334" s="17"/>
      <c r="DK334" s="17"/>
      <c r="DL334" s="17"/>
      <c r="DM334" s="17"/>
      <c r="DN334" s="17"/>
      <c r="DO334" s="17"/>
      <c r="DP334" s="17"/>
      <c r="DQ334" s="17"/>
      <c r="DR334" s="17"/>
      <c r="DS334" s="17"/>
      <c r="DT334" s="17"/>
      <c r="DU334" s="17"/>
      <c r="DV334" s="17"/>
      <c r="DW334" s="17"/>
      <c r="DX334" s="17"/>
      <c r="DY334" s="17"/>
      <c r="DZ334" s="17"/>
      <c r="EA334" s="17"/>
      <c r="EB334" s="17"/>
      <c r="EC334" s="17"/>
    </row>
    <row r="335" spans="1:133" x14ac:dyDescent="0.2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c r="BD335" s="17"/>
      <c r="BE335" s="17"/>
      <c r="BF335" s="17"/>
      <c r="BG335" s="17"/>
      <c r="BH335" s="17"/>
      <c r="BI335" s="17"/>
      <c r="BJ335" s="17"/>
      <c r="BK335" s="17"/>
      <c r="BL335" s="17"/>
      <c r="BM335" s="17"/>
      <c r="BN335" s="17"/>
      <c r="BO335" s="17"/>
      <c r="BP335" s="17"/>
      <c r="BQ335" s="17"/>
      <c r="BR335" s="17"/>
      <c r="BS335" s="17"/>
      <c r="BT335" s="17"/>
      <c r="BU335" s="17"/>
      <c r="BV335" s="17"/>
      <c r="BW335" s="17"/>
      <c r="BX335" s="17"/>
      <c r="BY335" s="17"/>
      <c r="BZ335" s="17"/>
      <c r="CA335" s="17"/>
      <c r="CB335" s="17"/>
      <c r="CC335" s="17"/>
      <c r="CD335" s="17"/>
      <c r="CE335" s="17"/>
      <c r="CF335" s="17"/>
      <c r="CG335" s="17"/>
      <c r="CH335" s="17"/>
      <c r="CI335" s="17"/>
      <c r="CJ335" s="17"/>
      <c r="CK335" s="17"/>
      <c r="CL335" s="17"/>
      <c r="CM335" s="17"/>
      <c r="CN335" s="17"/>
      <c r="CO335" s="17"/>
      <c r="CP335" s="17"/>
      <c r="CQ335" s="17"/>
      <c r="CR335" s="17"/>
      <c r="CS335" s="17"/>
      <c r="CT335" s="17"/>
      <c r="CU335" s="17"/>
      <c r="CV335" s="17"/>
      <c r="CW335" s="17"/>
      <c r="CX335" s="17"/>
      <c r="CY335" s="17"/>
      <c r="CZ335" s="17"/>
      <c r="DA335" s="17"/>
      <c r="DB335" s="17"/>
      <c r="DC335" s="17"/>
      <c r="DD335" s="17"/>
      <c r="DE335" s="17"/>
      <c r="DF335" s="17"/>
      <c r="DG335" s="17"/>
      <c r="DH335" s="17"/>
      <c r="DI335" s="17"/>
      <c r="DJ335" s="17"/>
      <c r="DK335" s="17"/>
      <c r="DL335" s="17"/>
      <c r="DM335" s="17"/>
      <c r="DN335" s="17"/>
      <c r="DO335" s="17"/>
      <c r="DP335" s="17"/>
      <c r="DQ335" s="17"/>
      <c r="DR335" s="17"/>
      <c r="DS335" s="17"/>
      <c r="DT335" s="17"/>
      <c r="DU335" s="17"/>
      <c r="DV335" s="17"/>
      <c r="DW335" s="17"/>
      <c r="DX335" s="17"/>
      <c r="DY335" s="17"/>
      <c r="DZ335" s="17"/>
      <c r="EA335" s="17"/>
      <c r="EB335" s="17"/>
      <c r="EC335" s="17"/>
    </row>
    <row r="336" spans="1:133" x14ac:dyDescent="0.25">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c r="BD336" s="17"/>
      <c r="BE336" s="17"/>
      <c r="BF336" s="17"/>
      <c r="BG336" s="17"/>
      <c r="BH336" s="17"/>
      <c r="BI336" s="17"/>
      <c r="BJ336" s="17"/>
      <c r="BK336" s="17"/>
      <c r="BL336" s="17"/>
      <c r="BM336" s="17"/>
      <c r="BN336" s="17"/>
      <c r="BO336" s="17"/>
      <c r="BP336" s="17"/>
      <c r="BQ336" s="17"/>
      <c r="BR336" s="17"/>
      <c r="BS336" s="17"/>
      <c r="BT336" s="17"/>
      <c r="BU336" s="17"/>
      <c r="BV336" s="17"/>
      <c r="BW336" s="17"/>
      <c r="BX336" s="17"/>
      <c r="BY336" s="17"/>
      <c r="BZ336" s="17"/>
      <c r="CA336" s="17"/>
      <c r="CB336" s="17"/>
      <c r="CC336" s="17"/>
      <c r="CD336" s="17"/>
      <c r="CE336" s="17"/>
      <c r="CF336" s="17"/>
      <c r="CG336" s="17"/>
      <c r="CH336" s="17"/>
      <c r="CI336" s="17"/>
      <c r="CJ336" s="17"/>
      <c r="CK336" s="17"/>
      <c r="CL336" s="17"/>
      <c r="CM336" s="17"/>
      <c r="CN336" s="17"/>
      <c r="CO336" s="17"/>
      <c r="CP336" s="17"/>
      <c r="CQ336" s="17"/>
      <c r="CR336" s="17"/>
      <c r="CS336" s="17"/>
      <c r="CT336" s="17"/>
      <c r="CU336" s="17"/>
      <c r="CV336" s="17"/>
      <c r="CW336" s="17"/>
      <c r="CX336" s="17"/>
      <c r="CY336" s="17"/>
      <c r="CZ336" s="17"/>
      <c r="DA336" s="17"/>
      <c r="DB336" s="17"/>
      <c r="DC336" s="17"/>
      <c r="DD336" s="17"/>
      <c r="DE336" s="17"/>
      <c r="DF336" s="17"/>
      <c r="DG336" s="17"/>
      <c r="DH336" s="17"/>
      <c r="DI336" s="17"/>
      <c r="DJ336" s="17"/>
      <c r="DK336" s="17"/>
      <c r="DL336" s="17"/>
      <c r="DM336" s="17"/>
      <c r="DN336" s="17"/>
      <c r="DO336" s="17"/>
      <c r="DP336" s="17"/>
      <c r="DQ336" s="17"/>
      <c r="DR336" s="17"/>
      <c r="DS336" s="17"/>
      <c r="DT336" s="17"/>
      <c r="DU336" s="17"/>
      <c r="DV336" s="17"/>
      <c r="DW336" s="17"/>
      <c r="DX336" s="17"/>
      <c r="DY336" s="17"/>
      <c r="DZ336" s="17"/>
      <c r="EA336" s="17"/>
      <c r="EB336" s="17"/>
      <c r="EC336" s="17"/>
    </row>
    <row r="337" spans="1:133" x14ac:dyDescent="0.25">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c r="BD337" s="17"/>
      <c r="BE337" s="17"/>
      <c r="BF337" s="17"/>
      <c r="BG337" s="17"/>
      <c r="BH337" s="17"/>
      <c r="BI337" s="17"/>
      <c r="BJ337" s="17"/>
      <c r="BK337" s="17"/>
      <c r="BL337" s="17"/>
      <c r="BM337" s="17"/>
      <c r="BN337" s="17"/>
      <c r="BO337" s="17"/>
      <c r="BP337" s="17"/>
      <c r="BQ337" s="17"/>
      <c r="BR337" s="17"/>
      <c r="BS337" s="17"/>
      <c r="BT337" s="17"/>
      <c r="BU337" s="17"/>
      <c r="BV337" s="17"/>
      <c r="BW337" s="17"/>
      <c r="BX337" s="17"/>
      <c r="BY337" s="17"/>
      <c r="BZ337" s="17"/>
      <c r="CA337" s="17"/>
      <c r="CB337" s="17"/>
      <c r="CC337" s="17"/>
      <c r="CD337" s="17"/>
      <c r="CE337" s="17"/>
      <c r="CF337" s="17"/>
      <c r="CG337" s="17"/>
      <c r="CH337" s="17"/>
      <c r="CI337" s="17"/>
      <c r="CJ337" s="17"/>
      <c r="CK337" s="17"/>
      <c r="CL337" s="17"/>
      <c r="CM337" s="17"/>
      <c r="CN337" s="17"/>
      <c r="CO337" s="17"/>
      <c r="CP337" s="17"/>
      <c r="CQ337" s="17"/>
      <c r="CR337" s="17"/>
      <c r="CS337" s="17"/>
      <c r="CT337" s="17"/>
      <c r="CU337" s="17"/>
      <c r="CV337" s="17"/>
      <c r="CW337" s="17"/>
      <c r="CX337" s="17"/>
      <c r="CY337" s="17"/>
      <c r="CZ337" s="17"/>
      <c r="DA337" s="17"/>
      <c r="DB337" s="17"/>
      <c r="DC337" s="17"/>
      <c r="DD337" s="17"/>
      <c r="DE337" s="17"/>
      <c r="DF337" s="17"/>
      <c r="DG337" s="17"/>
      <c r="DH337" s="17"/>
      <c r="DI337" s="17"/>
      <c r="DJ337" s="17"/>
      <c r="DK337" s="17"/>
      <c r="DL337" s="17"/>
      <c r="DM337" s="17"/>
      <c r="DN337" s="17"/>
      <c r="DO337" s="17"/>
      <c r="DP337" s="17"/>
      <c r="DQ337" s="17"/>
      <c r="DR337" s="17"/>
      <c r="DS337" s="17"/>
      <c r="DT337" s="17"/>
      <c r="DU337" s="17"/>
      <c r="DV337" s="17"/>
      <c r="DW337" s="17"/>
      <c r="DX337" s="17"/>
      <c r="DY337" s="17"/>
      <c r="DZ337" s="17"/>
      <c r="EA337" s="17"/>
      <c r="EB337" s="17"/>
      <c r="EC337" s="17"/>
    </row>
    <row r="338" spans="1:133" x14ac:dyDescent="0.25">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c r="BF338" s="17"/>
      <c r="BG338" s="17"/>
      <c r="BH338" s="17"/>
      <c r="BI338" s="17"/>
      <c r="BJ338" s="17"/>
      <c r="BK338" s="17"/>
      <c r="BL338" s="17"/>
      <c r="BM338" s="17"/>
      <c r="BN338" s="17"/>
      <c r="BO338" s="17"/>
      <c r="BP338" s="17"/>
      <c r="BQ338" s="17"/>
      <c r="BR338" s="17"/>
      <c r="BS338" s="17"/>
      <c r="BT338" s="17"/>
      <c r="BU338" s="17"/>
      <c r="BV338" s="17"/>
      <c r="BW338" s="17"/>
      <c r="BX338" s="17"/>
      <c r="BY338" s="17"/>
      <c r="BZ338" s="17"/>
      <c r="CA338" s="17"/>
      <c r="CB338" s="17"/>
      <c r="CC338" s="17"/>
      <c r="CD338" s="17"/>
      <c r="CE338" s="17"/>
      <c r="CF338" s="17"/>
      <c r="CG338" s="17"/>
      <c r="CH338" s="17"/>
      <c r="CI338" s="17"/>
      <c r="CJ338" s="17"/>
      <c r="CK338" s="17"/>
      <c r="CL338" s="17"/>
      <c r="CM338" s="17"/>
      <c r="CN338" s="17"/>
      <c r="CO338" s="17"/>
      <c r="CP338" s="17"/>
      <c r="CQ338" s="17"/>
      <c r="CR338" s="17"/>
      <c r="CS338" s="17"/>
      <c r="CT338" s="17"/>
      <c r="CU338" s="17"/>
      <c r="CV338" s="17"/>
      <c r="CW338" s="17"/>
      <c r="CX338" s="17"/>
      <c r="CY338" s="17"/>
      <c r="CZ338" s="17"/>
      <c r="DA338" s="17"/>
      <c r="DB338" s="17"/>
      <c r="DC338" s="17"/>
      <c r="DD338" s="17"/>
      <c r="DE338" s="17"/>
      <c r="DF338" s="17"/>
      <c r="DG338" s="17"/>
      <c r="DH338" s="17"/>
      <c r="DI338" s="17"/>
      <c r="DJ338" s="17"/>
      <c r="DK338" s="17"/>
      <c r="DL338" s="17"/>
      <c r="DM338" s="17"/>
      <c r="DN338" s="17"/>
      <c r="DO338" s="17"/>
      <c r="DP338" s="17"/>
      <c r="DQ338" s="17"/>
      <c r="DR338" s="17"/>
      <c r="DS338" s="17"/>
      <c r="DT338" s="17"/>
      <c r="DU338" s="17"/>
      <c r="DV338" s="17"/>
      <c r="DW338" s="17"/>
      <c r="DX338" s="17"/>
      <c r="DY338" s="17"/>
      <c r="DZ338" s="17"/>
      <c r="EA338" s="17"/>
      <c r="EB338" s="17"/>
      <c r="EC338" s="17"/>
    </row>
    <row r="339" spans="1:133" x14ac:dyDescent="0.25">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c r="BD339" s="17"/>
      <c r="BE339" s="17"/>
      <c r="BF339" s="17"/>
      <c r="BG339" s="17"/>
      <c r="BH339" s="17"/>
      <c r="BI339" s="17"/>
      <c r="BJ339" s="17"/>
      <c r="BK339" s="17"/>
      <c r="BL339" s="17"/>
      <c r="BM339" s="17"/>
      <c r="BN339" s="17"/>
      <c r="BO339" s="17"/>
      <c r="BP339" s="17"/>
      <c r="BQ339" s="17"/>
      <c r="BR339" s="17"/>
      <c r="BS339" s="17"/>
      <c r="BT339" s="17"/>
      <c r="BU339" s="17"/>
      <c r="BV339" s="17"/>
      <c r="BW339" s="17"/>
      <c r="BX339" s="17"/>
      <c r="BY339" s="17"/>
      <c r="BZ339" s="17"/>
      <c r="CA339" s="17"/>
      <c r="CB339" s="17"/>
      <c r="CC339" s="17"/>
      <c r="CD339" s="17"/>
      <c r="CE339" s="17"/>
      <c r="CF339" s="17"/>
      <c r="CG339" s="17"/>
      <c r="CH339" s="17"/>
      <c r="CI339" s="17"/>
      <c r="CJ339" s="17"/>
      <c r="CK339" s="17"/>
      <c r="CL339" s="17"/>
      <c r="CM339" s="17"/>
      <c r="CN339" s="17"/>
      <c r="CO339" s="17"/>
      <c r="CP339" s="17"/>
      <c r="CQ339" s="17"/>
      <c r="CR339" s="17"/>
      <c r="CS339" s="17"/>
      <c r="CT339" s="17"/>
      <c r="CU339" s="17"/>
      <c r="CV339" s="17"/>
      <c r="CW339" s="17"/>
      <c r="CX339" s="17"/>
      <c r="CY339" s="17"/>
      <c r="CZ339" s="17"/>
      <c r="DA339" s="17"/>
      <c r="DB339" s="17"/>
      <c r="DC339" s="17"/>
      <c r="DD339" s="17"/>
      <c r="DE339" s="17"/>
      <c r="DF339" s="17"/>
      <c r="DG339" s="17"/>
      <c r="DH339" s="17"/>
      <c r="DI339" s="17"/>
      <c r="DJ339" s="17"/>
      <c r="DK339" s="17"/>
      <c r="DL339" s="17"/>
      <c r="DM339" s="17"/>
      <c r="DN339" s="17"/>
      <c r="DO339" s="17"/>
      <c r="DP339" s="17"/>
      <c r="DQ339" s="17"/>
      <c r="DR339" s="17"/>
      <c r="DS339" s="17"/>
      <c r="DT339" s="17"/>
      <c r="DU339" s="17"/>
      <c r="DV339" s="17"/>
      <c r="DW339" s="17"/>
      <c r="DX339" s="17"/>
      <c r="DY339" s="17"/>
      <c r="DZ339" s="17"/>
      <c r="EA339" s="17"/>
      <c r="EB339" s="17"/>
      <c r="EC339" s="17"/>
    </row>
    <row r="340" spans="1:133" x14ac:dyDescent="0.25">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c r="BD340" s="17"/>
      <c r="BE340" s="17"/>
      <c r="BF340" s="17"/>
      <c r="BG340" s="17"/>
      <c r="BH340" s="17"/>
      <c r="BI340" s="17"/>
      <c r="BJ340" s="17"/>
      <c r="BK340" s="17"/>
      <c r="BL340" s="17"/>
      <c r="BM340" s="17"/>
      <c r="BN340" s="17"/>
      <c r="BO340" s="17"/>
      <c r="BP340" s="17"/>
      <c r="BQ340" s="17"/>
      <c r="BR340" s="17"/>
      <c r="BS340" s="17"/>
      <c r="BT340" s="17"/>
      <c r="BU340" s="17"/>
      <c r="BV340" s="17"/>
      <c r="BW340" s="17"/>
      <c r="BX340" s="17"/>
      <c r="BY340" s="17"/>
      <c r="BZ340" s="17"/>
      <c r="CA340" s="17"/>
      <c r="CB340" s="17"/>
      <c r="CC340" s="17"/>
      <c r="CD340" s="17"/>
      <c r="CE340" s="17"/>
      <c r="CF340" s="17"/>
      <c r="CG340" s="17"/>
      <c r="CH340" s="17"/>
      <c r="CI340" s="17"/>
      <c r="CJ340" s="17"/>
      <c r="CK340" s="17"/>
      <c r="CL340" s="17"/>
      <c r="CM340" s="17"/>
      <c r="CN340" s="17"/>
      <c r="CO340" s="17"/>
      <c r="CP340" s="17"/>
      <c r="CQ340" s="17"/>
      <c r="CR340" s="17"/>
      <c r="CS340" s="17"/>
      <c r="CT340" s="17"/>
      <c r="CU340" s="17"/>
      <c r="CV340" s="17"/>
      <c r="CW340" s="17"/>
      <c r="CX340" s="17"/>
      <c r="CY340" s="17"/>
      <c r="CZ340" s="17"/>
      <c r="DA340" s="17"/>
      <c r="DB340" s="17"/>
      <c r="DC340" s="17"/>
      <c r="DD340" s="17"/>
      <c r="DE340" s="17"/>
      <c r="DF340" s="17"/>
      <c r="DG340" s="17"/>
      <c r="DH340" s="17"/>
      <c r="DI340" s="17"/>
      <c r="DJ340" s="17"/>
      <c r="DK340" s="17"/>
      <c r="DL340" s="17"/>
      <c r="DM340" s="17"/>
      <c r="DN340" s="17"/>
      <c r="DO340" s="17"/>
      <c r="DP340" s="17"/>
      <c r="DQ340" s="17"/>
      <c r="DR340" s="17"/>
      <c r="DS340" s="17"/>
      <c r="DT340" s="17"/>
      <c r="DU340" s="17"/>
      <c r="DV340" s="17"/>
      <c r="DW340" s="17"/>
      <c r="DX340" s="17"/>
      <c r="DY340" s="17"/>
      <c r="DZ340" s="17"/>
      <c r="EA340" s="17"/>
      <c r="EB340" s="17"/>
      <c r="EC340" s="17"/>
    </row>
    <row r="341" spans="1:133" x14ac:dyDescent="0.25">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c r="BD341" s="17"/>
      <c r="BE341" s="17"/>
      <c r="BF341" s="17"/>
      <c r="BG341" s="17"/>
      <c r="BH341" s="17"/>
      <c r="BI341" s="17"/>
      <c r="BJ341" s="17"/>
      <c r="BK341" s="17"/>
      <c r="BL341" s="17"/>
      <c r="BM341" s="17"/>
      <c r="BN341" s="17"/>
      <c r="BO341" s="17"/>
      <c r="BP341" s="17"/>
      <c r="BQ341" s="17"/>
      <c r="BR341" s="17"/>
      <c r="BS341" s="17"/>
      <c r="BT341" s="17"/>
      <c r="BU341" s="17"/>
      <c r="BV341" s="17"/>
      <c r="BW341" s="17"/>
      <c r="BX341" s="17"/>
      <c r="BY341" s="17"/>
      <c r="BZ341" s="17"/>
      <c r="CA341" s="17"/>
      <c r="CB341" s="17"/>
      <c r="CC341" s="17"/>
      <c r="CD341" s="17"/>
      <c r="CE341" s="17"/>
      <c r="CF341" s="17"/>
      <c r="CG341" s="17"/>
      <c r="CH341" s="17"/>
      <c r="CI341" s="17"/>
      <c r="CJ341" s="17"/>
      <c r="CK341" s="17"/>
      <c r="CL341" s="17"/>
      <c r="CM341" s="17"/>
      <c r="CN341" s="17"/>
      <c r="CO341" s="17"/>
      <c r="CP341" s="17"/>
      <c r="CQ341" s="17"/>
      <c r="CR341" s="17"/>
      <c r="CS341" s="17"/>
      <c r="CT341" s="17"/>
      <c r="CU341" s="17"/>
      <c r="CV341" s="17"/>
      <c r="CW341" s="17"/>
      <c r="CX341" s="17"/>
      <c r="CY341" s="17"/>
      <c r="CZ341" s="17"/>
      <c r="DA341" s="17"/>
      <c r="DB341" s="17"/>
      <c r="DC341" s="17"/>
      <c r="DD341" s="17"/>
      <c r="DE341" s="17"/>
      <c r="DF341" s="17"/>
      <c r="DG341" s="17"/>
      <c r="DH341" s="17"/>
      <c r="DI341" s="17"/>
      <c r="DJ341" s="17"/>
      <c r="DK341" s="17"/>
      <c r="DL341" s="17"/>
      <c r="DM341" s="17"/>
      <c r="DN341" s="17"/>
      <c r="DO341" s="17"/>
      <c r="DP341" s="17"/>
      <c r="DQ341" s="17"/>
      <c r="DR341" s="17"/>
      <c r="DS341" s="17"/>
      <c r="DT341" s="17"/>
      <c r="DU341" s="17"/>
      <c r="DV341" s="17"/>
      <c r="DW341" s="17"/>
      <c r="DX341" s="17"/>
      <c r="DY341" s="17"/>
      <c r="DZ341" s="17"/>
      <c r="EA341" s="17"/>
      <c r="EB341" s="17"/>
      <c r="EC341" s="17"/>
    </row>
    <row r="342" spans="1:133" x14ac:dyDescent="0.25">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c r="BD342" s="17"/>
      <c r="BE342" s="17"/>
      <c r="BF342" s="17"/>
      <c r="BG342" s="17"/>
      <c r="BH342" s="17"/>
      <c r="BI342" s="17"/>
      <c r="BJ342" s="17"/>
      <c r="BK342" s="17"/>
      <c r="BL342" s="17"/>
      <c r="BM342" s="17"/>
      <c r="BN342" s="17"/>
      <c r="BO342" s="17"/>
      <c r="BP342" s="17"/>
      <c r="BQ342" s="17"/>
      <c r="BR342" s="17"/>
      <c r="BS342" s="17"/>
      <c r="BT342" s="17"/>
      <c r="BU342" s="17"/>
      <c r="BV342" s="17"/>
      <c r="BW342" s="17"/>
      <c r="BX342" s="17"/>
      <c r="BY342" s="17"/>
      <c r="BZ342" s="17"/>
      <c r="CA342" s="17"/>
      <c r="CB342" s="17"/>
      <c r="CC342" s="17"/>
      <c r="CD342" s="17"/>
      <c r="CE342" s="17"/>
      <c r="CF342" s="17"/>
      <c r="CG342" s="17"/>
      <c r="CH342" s="17"/>
      <c r="CI342" s="17"/>
      <c r="CJ342" s="17"/>
      <c r="CK342" s="17"/>
      <c r="CL342" s="17"/>
      <c r="CM342" s="17"/>
      <c r="CN342" s="17"/>
      <c r="CO342" s="17"/>
      <c r="CP342" s="17"/>
      <c r="CQ342" s="17"/>
      <c r="CR342" s="17"/>
      <c r="CS342" s="17"/>
      <c r="CT342" s="17"/>
      <c r="CU342" s="17"/>
      <c r="CV342" s="17"/>
      <c r="CW342" s="17"/>
      <c r="CX342" s="17"/>
      <c r="CY342" s="17"/>
      <c r="CZ342" s="17"/>
      <c r="DA342" s="17"/>
      <c r="DB342" s="17"/>
      <c r="DC342" s="17"/>
      <c r="DD342" s="17"/>
      <c r="DE342" s="17"/>
      <c r="DF342" s="17"/>
      <c r="DG342" s="17"/>
      <c r="DH342" s="17"/>
      <c r="DI342" s="17"/>
      <c r="DJ342" s="17"/>
      <c r="DK342" s="17"/>
      <c r="DL342" s="17"/>
      <c r="DM342" s="17"/>
      <c r="DN342" s="17"/>
      <c r="DO342" s="17"/>
      <c r="DP342" s="17"/>
      <c r="DQ342" s="17"/>
      <c r="DR342" s="17"/>
      <c r="DS342" s="17"/>
      <c r="DT342" s="17"/>
      <c r="DU342" s="17"/>
      <c r="DV342" s="17"/>
      <c r="DW342" s="17"/>
      <c r="DX342" s="17"/>
      <c r="DY342" s="17"/>
      <c r="DZ342" s="17"/>
      <c r="EA342" s="17"/>
      <c r="EB342" s="17"/>
      <c r="EC342" s="17"/>
    </row>
    <row r="343" spans="1:133" x14ac:dyDescent="0.25">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c r="BD343" s="17"/>
      <c r="BE343" s="17"/>
      <c r="BF343" s="17"/>
      <c r="BG343" s="17"/>
      <c r="BH343" s="17"/>
      <c r="BI343" s="17"/>
      <c r="BJ343" s="17"/>
      <c r="BK343" s="17"/>
      <c r="BL343" s="17"/>
      <c r="BM343" s="17"/>
      <c r="BN343" s="17"/>
      <c r="BO343" s="17"/>
      <c r="BP343" s="17"/>
      <c r="BQ343" s="17"/>
      <c r="BR343" s="17"/>
      <c r="BS343" s="17"/>
      <c r="BT343" s="17"/>
      <c r="BU343" s="17"/>
      <c r="BV343" s="17"/>
      <c r="BW343" s="17"/>
      <c r="BX343" s="17"/>
      <c r="BY343" s="17"/>
      <c r="BZ343" s="17"/>
      <c r="CA343" s="17"/>
      <c r="CB343" s="17"/>
      <c r="CC343" s="17"/>
      <c r="CD343" s="17"/>
      <c r="CE343" s="17"/>
      <c r="CF343" s="17"/>
      <c r="CG343" s="17"/>
      <c r="CH343" s="17"/>
      <c r="CI343" s="17"/>
      <c r="CJ343" s="17"/>
      <c r="CK343" s="17"/>
      <c r="CL343" s="17"/>
      <c r="CM343" s="17"/>
      <c r="CN343" s="17"/>
      <c r="CO343" s="17"/>
      <c r="CP343" s="17"/>
      <c r="CQ343" s="17"/>
      <c r="CR343" s="17"/>
      <c r="CS343" s="17"/>
      <c r="CT343" s="17"/>
      <c r="CU343" s="17"/>
      <c r="CV343" s="17"/>
      <c r="CW343" s="17"/>
      <c r="CX343" s="17"/>
      <c r="CY343" s="17"/>
      <c r="CZ343" s="17"/>
      <c r="DA343" s="17"/>
      <c r="DB343" s="17"/>
      <c r="DC343" s="17"/>
      <c r="DD343" s="17"/>
      <c r="DE343" s="17"/>
      <c r="DF343" s="17"/>
      <c r="DG343" s="17"/>
      <c r="DH343" s="17"/>
      <c r="DI343" s="17"/>
      <c r="DJ343" s="17"/>
      <c r="DK343" s="17"/>
      <c r="DL343" s="17"/>
      <c r="DM343" s="17"/>
      <c r="DN343" s="17"/>
      <c r="DO343" s="17"/>
      <c r="DP343" s="17"/>
      <c r="DQ343" s="17"/>
      <c r="DR343" s="17"/>
      <c r="DS343" s="17"/>
      <c r="DT343" s="17"/>
      <c r="DU343" s="17"/>
      <c r="DV343" s="17"/>
      <c r="DW343" s="17"/>
      <c r="DX343" s="17"/>
      <c r="DY343" s="17"/>
      <c r="DZ343" s="17"/>
      <c r="EA343" s="17"/>
      <c r="EB343" s="17"/>
      <c r="EC343" s="17"/>
    </row>
    <row r="344" spans="1:133" x14ac:dyDescent="0.25">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c r="BD344" s="17"/>
      <c r="BE344" s="17"/>
      <c r="BF344" s="17"/>
      <c r="BG344" s="17"/>
      <c r="BH344" s="17"/>
      <c r="BI344" s="17"/>
      <c r="BJ344" s="17"/>
      <c r="BK344" s="17"/>
      <c r="BL344" s="17"/>
      <c r="BM344" s="17"/>
      <c r="BN344" s="17"/>
      <c r="BO344" s="17"/>
      <c r="BP344" s="17"/>
      <c r="BQ344" s="17"/>
      <c r="BR344" s="17"/>
      <c r="BS344" s="17"/>
      <c r="BT344" s="17"/>
      <c r="BU344" s="17"/>
      <c r="BV344" s="17"/>
      <c r="BW344" s="17"/>
      <c r="BX344" s="17"/>
      <c r="BY344" s="17"/>
      <c r="BZ344" s="17"/>
      <c r="CA344" s="17"/>
      <c r="CB344" s="17"/>
      <c r="CC344" s="17"/>
      <c r="CD344" s="17"/>
      <c r="CE344" s="17"/>
      <c r="CF344" s="17"/>
      <c r="CG344" s="17"/>
      <c r="CH344" s="17"/>
      <c r="CI344" s="17"/>
      <c r="CJ344" s="17"/>
      <c r="CK344" s="17"/>
      <c r="CL344" s="17"/>
      <c r="CM344" s="17"/>
      <c r="CN344" s="17"/>
      <c r="CO344" s="17"/>
      <c r="CP344" s="17"/>
      <c r="CQ344" s="17"/>
      <c r="CR344" s="17"/>
      <c r="CS344" s="17"/>
      <c r="CT344" s="17"/>
      <c r="CU344" s="17"/>
      <c r="CV344" s="17"/>
      <c r="CW344" s="17"/>
      <c r="CX344" s="17"/>
      <c r="CY344" s="17"/>
      <c r="CZ344" s="17"/>
      <c r="DA344" s="17"/>
      <c r="DB344" s="17"/>
      <c r="DC344" s="17"/>
      <c r="DD344" s="17"/>
      <c r="DE344" s="17"/>
      <c r="DF344" s="17"/>
      <c r="DG344" s="17"/>
      <c r="DH344" s="17"/>
      <c r="DI344" s="17"/>
      <c r="DJ344" s="17"/>
      <c r="DK344" s="17"/>
      <c r="DL344" s="17"/>
      <c r="DM344" s="17"/>
      <c r="DN344" s="17"/>
      <c r="DO344" s="17"/>
      <c r="DP344" s="17"/>
      <c r="DQ344" s="17"/>
      <c r="DR344" s="17"/>
      <c r="DS344" s="17"/>
      <c r="DT344" s="17"/>
      <c r="DU344" s="17"/>
      <c r="DV344" s="17"/>
      <c r="DW344" s="17"/>
      <c r="DX344" s="17"/>
      <c r="DY344" s="17"/>
      <c r="DZ344" s="17"/>
      <c r="EA344" s="17"/>
      <c r="EB344" s="17"/>
      <c r="EC344" s="17"/>
    </row>
    <row r="345" spans="1:133" x14ac:dyDescent="0.2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c r="BF345" s="17"/>
      <c r="BG345" s="17"/>
      <c r="BH345" s="17"/>
      <c r="BI345" s="17"/>
      <c r="BJ345" s="17"/>
      <c r="BK345" s="17"/>
      <c r="BL345" s="17"/>
      <c r="BM345" s="17"/>
      <c r="BN345" s="17"/>
      <c r="BO345" s="17"/>
      <c r="BP345" s="17"/>
      <c r="BQ345" s="17"/>
      <c r="BR345" s="17"/>
      <c r="BS345" s="17"/>
      <c r="BT345" s="17"/>
      <c r="BU345" s="17"/>
      <c r="BV345" s="17"/>
      <c r="BW345" s="17"/>
      <c r="BX345" s="17"/>
      <c r="BY345" s="17"/>
      <c r="BZ345" s="17"/>
      <c r="CA345" s="17"/>
      <c r="CB345" s="17"/>
      <c r="CC345" s="17"/>
      <c r="CD345" s="17"/>
      <c r="CE345" s="17"/>
      <c r="CF345" s="17"/>
      <c r="CG345" s="17"/>
      <c r="CH345" s="17"/>
      <c r="CI345" s="17"/>
      <c r="CJ345" s="17"/>
      <c r="CK345" s="17"/>
      <c r="CL345" s="17"/>
      <c r="CM345" s="17"/>
      <c r="CN345" s="17"/>
      <c r="CO345" s="17"/>
      <c r="CP345" s="17"/>
      <c r="CQ345" s="17"/>
      <c r="CR345" s="17"/>
      <c r="CS345" s="17"/>
      <c r="CT345" s="17"/>
      <c r="CU345" s="17"/>
      <c r="CV345" s="17"/>
      <c r="CW345" s="17"/>
      <c r="CX345" s="17"/>
      <c r="CY345" s="17"/>
      <c r="CZ345" s="17"/>
      <c r="DA345" s="17"/>
      <c r="DB345" s="17"/>
      <c r="DC345" s="17"/>
      <c r="DD345" s="17"/>
      <c r="DE345" s="17"/>
      <c r="DF345" s="17"/>
      <c r="DG345" s="17"/>
      <c r="DH345" s="17"/>
      <c r="DI345" s="17"/>
      <c r="DJ345" s="17"/>
      <c r="DK345" s="17"/>
      <c r="DL345" s="17"/>
      <c r="DM345" s="17"/>
      <c r="DN345" s="17"/>
      <c r="DO345" s="17"/>
      <c r="DP345" s="17"/>
      <c r="DQ345" s="17"/>
      <c r="DR345" s="17"/>
      <c r="DS345" s="17"/>
      <c r="DT345" s="17"/>
      <c r="DU345" s="17"/>
      <c r="DV345" s="17"/>
      <c r="DW345" s="17"/>
      <c r="DX345" s="17"/>
      <c r="DY345" s="17"/>
      <c r="DZ345" s="17"/>
      <c r="EA345" s="17"/>
      <c r="EB345" s="17"/>
      <c r="EC345" s="17"/>
    </row>
    <row r="346" spans="1:133" x14ac:dyDescent="0.25">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c r="BD346" s="17"/>
      <c r="BE346" s="17"/>
      <c r="BF346" s="17"/>
      <c r="BG346" s="17"/>
      <c r="BH346" s="17"/>
      <c r="BI346" s="17"/>
      <c r="BJ346" s="17"/>
      <c r="BK346" s="17"/>
      <c r="BL346" s="17"/>
      <c r="BM346" s="17"/>
      <c r="BN346" s="17"/>
      <c r="BO346" s="17"/>
      <c r="BP346" s="17"/>
      <c r="BQ346" s="17"/>
      <c r="BR346" s="17"/>
      <c r="BS346" s="17"/>
      <c r="BT346" s="17"/>
      <c r="BU346" s="17"/>
      <c r="BV346" s="17"/>
      <c r="BW346" s="17"/>
      <c r="BX346" s="17"/>
      <c r="BY346" s="17"/>
      <c r="BZ346" s="17"/>
      <c r="CA346" s="17"/>
      <c r="CB346" s="17"/>
      <c r="CC346" s="17"/>
      <c r="CD346" s="17"/>
      <c r="CE346" s="17"/>
      <c r="CF346" s="17"/>
      <c r="CG346" s="17"/>
      <c r="CH346" s="17"/>
      <c r="CI346" s="17"/>
      <c r="CJ346" s="17"/>
      <c r="CK346" s="17"/>
      <c r="CL346" s="17"/>
      <c r="CM346" s="17"/>
      <c r="CN346" s="17"/>
      <c r="CO346" s="17"/>
      <c r="CP346" s="17"/>
      <c r="CQ346" s="17"/>
      <c r="CR346" s="17"/>
      <c r="CS346" s="17"/>
      <c r="CT346" s="17"/>
      <c r="CU346" s="17"/>
      <c r="CV346" s="17"/>
      <c r="CW346" s="17"/>
      <c r="CX346" s="17"/>
      <c r="CY346" s="17"/>
      <c r="CZ346" s="17"/>
      <c r="DA346" s="17"/>
      <c r="DB346" s="17"/>
      <c r="DC346" s="17"/>
      <c r="DD346" s="17"/>
      <c r="DE346" s="17"/>
      <c r="DF346" s="17"/>
      <c r="DG346" s="17"/>
      <c r="DH346" s="17"/>
      <c r="DI346" s="17"/>
      <c r="DJ346" s="17"/>
      <c r="DK346" s="17"/>
      <c r="DL346" s="17"/>
      <c r="DM346" s="17"/>
      <c r="DN346" s="17"/>
      <c r="DO346" s="17"/>
      <c r="DP346" s="17"/>
      <c r="DQ346" s="17"/>
      <c r="DR346" s="17"/>
      <c r="DS346" s="17"/>
      <c r="DT346" s="17"/>
      <c r="DU346" s="17"/>
      <c r="DV346" s="17"/>
      <c r="DW346" s="17"/>
      <c r="DX346" s="17"/>
      <c r="DY346" s="17"/>
      <c r="DZ346" s="17"/>
      <c r="EA346" s="17"/>
      <c r="EB346" s="17"/>
      <c r="EC346" s="17"/>
    </row>
    <row r="347" spans="1:133" x14ac:dyDescent="0.25">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c r="BF347" s="17"/>
      <c r="BG347" s="17"/>
      <c r="BH347" s="17"/>
      <c r="BI347" s="17"/>
      <c r="BJ347" s="17"/>
      <c r="BK347" s="17"/>
      <c r="BL347" s="17"/>
      <c r="BM347" s="17"/>
      <c r="BN347" s="17"/>
      <c r="BO347" s="17"/>
      <c r="BP347" s="17"/>
      <c r="BQ347" s="17"/>
      <c r="BR347" s="17"/>
      <c r="BS347" s="17"/>
      <c r="BT347" s="17"/>
      <c r="BU347" s="17"/>
      <c r="BV347" s="17"/>
      <c r="BW347" s="17"/>
      <c r="BX347" s="17"/>
      <c r="BY347" s="17"/>
      <c r="BZ347" s="17"/>
      <c r="CA347" s="17"/>
      <c r="CB347" s="17"/>
      <c r="CC347" s="17"/>
      <c r="CD347" s="17"/>
      <c r="CE347" s="17"/>
      <c r="CF347" s="17"/>
      <c r="CG347" s="17"/>
      <c r="CH347" s="17"/>
      <c r="CI347" s="17"/>
      <c r="CJ347" s="17"/>
      <c r="CK347" s="17"/>
      <c r="CL347" s="17"/>
      <c r="CM347" s="17"/>
      <c r="CN347" s="17"/>
      <c r="CO347" s="17"/>
      <c r="CP347" s="17"/>
      <c r="CQ347" s="17"/>
      <c r="CR347" s="17"/>
      <c r="CS347" s="17"/>
      <c r="CT347" s="17"/>
      <c r="CU347" s="17"/>
      <c r="CV347" s="17"/>
      <c r="CW347" s="17"/>
      <c r="CX347" s="17"/>
      <c r="CY347" s="17"/>
      <c r="CZ347" s="17"/>
      <c r="DA347" s="17"/>
      <c r="DB347" s="17"/>
      <c r="DC347" s="17"/>
      <c r="DD347" s="17"/>
      <c r="DE347" s="17"/>
      <c r="DF347" s="17"/>
      <c r="DG347" s="17"/>
      <c r="DH347" s="17"/>
      <c r="DI347" s="17"/>
      <c r="DJ347" s="17"/>
      <c r="DK347" s="17"/>
      <c r="DL347" s="17"/>
      <c r="DM347" s="17"/>
      <c r="DN347" s="17"/>
      <c r="DO347" s="17"/>
      <c r="DP347" s="17"/>
      <c r="DQ347" s="17"/>
      <c r="DR347" s="17"/>
      <c r="DS347" s="17"/>
      <c r="DT347" s="17"/>
      <c r="DU347" s="17"/>
      <c r="DV347" s="17"/>
      <c r="DW347" s="17"/>
      <c r="DX347" s="17"/>
      <c r="DY347" s="17"/>
      <c r="DZ347" s="17"/>
      <c r="EA347" s="17"/>
      <c r="EB347" s="17"/>
      <c r="EC347" s="17"/>
    </row>
    <row r="348" spans="1:133" x14ac:dyDescent="0.25">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c r="BD348" s="17"/>
      <c r="BE348" s="17"/>
      <c r="BF348" s="17"/>
      <c r="BG348" s="17"/>
      <c r="BH348" s="17"/>
      <c r="BI348" s="17"/>
      <c r="BJ348" s="17"/>
      <c r="BK348" s="17"/>
      <c r="BL348" s="17"/>
      <c r="BM348" s="17"/>
      <c r="BN348" s="17"/>
      <c r="BO348" s="17"/>
      <c r="BP348" s="17"/>
      <c r="BQ348" s="17"/>
      <c r="BR348" s="17"/>
      <c r="BS348" s="17"/>
      <c r="BT348" s="17"/>
      <c r="BU348" s="17"/>
      <c r="BV348" s="17"/>
      <c r="BW348" s="17"/>
      <c r="BX348" s="17"/>
      <c r="BY348" s="17"/>
      <c r="BZ348" s="17"/>
      <c r="CA348" s="17"/>
      <c r="CB348" s="17"/>
      <c r="CC348" s="17"/>
      <c r="CD348" s="17"/>
      <c r="CE348" s="17"/>
      <c r="CF348" s="17"/>
      <c r="CG348" s="17"/>
      <c r="CH348" s="17"/>
      <c r="CI348" s="17"/>
      <c r="CJ348" s="17"/>
      <c r="CK348" s="17"/>
      <c r="CL348" s="17"/>
      <c r="CM348" s="17"/>
      <c r="CN348" s="17"/>
      <c r="CO348" s="17"/>
      <c r="CP348" s="17"/>
      <c r="CQ348" s="17"/>
      <c r="CR348" s="17"/>
      <c r="CS348" s="17"/>
      <c r="CT348" s="17"/>
      <c r="CU348" s="17"/>
      <c r="CV348" s="17"/>
      <c r="CW348" s="17"/>
      <c r="CX348" s="17"/>
      <c r="CY348" s="17"/>
      <c r="CZ348" s="17"/>
      <c r="DA348" s="17"/>
      <c r="DB348" s="17"/>
      <c r="DC348" s="17"/>
      <c r="DD348" s="17"/>
      <c r="DE348" s="17"/>
      <c r="DF348" s="17"/>
      <c r="DG348" s="17"/>
      <c r="DH348" s="17"/>
      <c r="DI348" s="17"/>
      <c r="DJ348" s="17"/>
      <c r="DK348" s="17"/>
      <c r="DL348" s="17"/>
      <c r="DM348" s="17"/>
      <c r="DN348" s="17"/>
      <c r="DO348" s="17"/>
      <c r="DP348" s="17"/>
      <c r="DQ348" s="17"/>
      <c r="DR348" s="17"/>
      <c r="DS348" s="17"/>
      <c r="DT348" s="17"/>
      <c r="DU348" s="17"/>
      <c r="DV348" s="17"/>
      <c r="DW348" s="17"/>
      <c r="DX348" s="17"/>
      <c r="DY348" s="17"/>
      <c r="DZ348" s="17"/>
      <c r="EA348" s="17"/>
      <c r="EB348" s="17"/>
      <c r="EC348" s="17"/>
    </row>
    <row r="349" spans="1:133" x14ac:dyDescent="0.25">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c r="BF349" s="17"/>
      <c r="BG349" s="17"/>
      <c r="BH349" s="17"/>
      <c r="BI349" s="17"/>
      <c r="BJ349" s="17"/>
      <c r="BK349" s="17"/>
      <c r="BL349" s="17"/>
      <c r="BM349" s="17"/>
      <c r="BN349" s="17"/>
      <c r="BO349" s="17"/>
      <c r="BP349" s="17"/>
      <c r="BQ349" s="17"/>
      <c r="BR349" s="17"/>
      <c r="BS349" s="17"/>
      <c r="BT349" s="17"/>
      <c r="BU349" s="17"/>
      <c r="BV349" s="17"/>
      <c r="BW349" s="17"/>
      <c r="BX349" s="17"/>
      <c r="BY349" s="17"/>
      <c r="BZ349" s="17"/>
      <c r="CA349" s="17"/>
      <c r="CB349" s="17"/>
      <c r="CC349" s="17"/>
      <c r="CD349" s="17"/>
      <c r="CE349" s="17"/>
      <c r="CF349" s="17"/>
      <c r="CG349" s="17"/>
      <c r="CH349" s="17"/>
      <c r="CI349" s="17"/>
      <c r="CJ349" s="17"/>
      <c r="CK349" s="17"/>
      <c r="CL349" s="17"/>
      <c r="CM349" s="17"/>
      <c r="CN349" s="17"/>
      <c r="CO349" s="17"/>
      <c r="CP349" s="17"/>
      <c r="CQ349" s="17"/>
      <c r="CR349" s="17"/>
      <c r="CS349" s="17"/>
      <c r="CT349" s="17"/>
      <c r="CU349" s="17"/>
      <c r="CV349" s="17"/>
      <c r="CW349" s="17"/>
      <c r="CX349" s="17"/>
      <c r="CY349" s="17"/>
      <c r="CZ349" s="17"/>
      <c r="DA349" s="17"/>
      <c r="DB349" s="17"/>
      <c r="DC349" s="17"/>
      <c r="DD349" s="17"/>
      <c r="DE349" s="17"/>
      <c r="DF349" s="17"/>
      <c r="DG349" s="17"/>
      <c r="DH349" s="17"/>
      <c r="DI349" s="17"/>
      <c r="DJ349" s="17"/>
      <c r="DK349" s="17"/>
      <c r="DL349" s="17"/>
      <c r="DM349" s="17"/>
      <c r="DN349" s="17"/>
      <c r="DO349" s="17"/>
      <c r="DP349" s="17"/>
      <c r="DQ349" s="17"/>
      <c r="DR349" s="17"/>
      <c r="DS349" s="17"/>
      <c r="DT349" s="17"/>
      <c r="DU349" s="17"/>
      <c r="DV349" s="17"/>
      <c r="DW349" s="17"/>
      <c r="DX349" s="17"/>
      <c r="DY349" s="17"/>
      <c r="DZ349" s="17"/>
      <c r="EA349" s="17"/>
      <c r="EB349" s="17"/>
      <c r="EC349" s="17"/>
    </row>
    <row r="350" spans="1:133" x14ac:dyDescent="0.25">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c r="BF350" s="17"/>
      <c r="BG350" s="17"/>
      <c r="BH350" s="17"/>
      <c r="BI350" s="17"/>
      <c r="BJ350" s="17"/>
      <c r="BK350" s="17"/>
      <c r="BL350" s="17"/>
      <c r="BM350" s="17"/>
      <c r="BN350" s="17"/>
      <c r="BO350" s="17"/>
      <c r="BP350" s="17"/>
      <c r="BQ350" s="17"/>
      <c r="BR350" s="17"/>
      <c r="BS350" s="17"/>
      <c r="BT350" s="17"/>
      <c r="BU350" s="17"/>
      <c r="BV350" s="17"/>
      <c r="BW350" s="17"/>
      <c r="BX350" s="17"/>
      <c r="BY350" s="17"/>
      <c r="BZ350" s="17"/>
      <c r="CA350" s="17"/>
      <c r="CB350" s="17"/>
      <c r="CC350" s="17"/>
      <c r="CD350" s="17"/>
      <c r="CE350" s="17"/>
      <c r="CF350" s="17"/>
      <c r="CG350" s="17"/>
      <c r="CH350" s="17"/>
      <c r="CI350" s="17"/>
      <c r="CJ350" s="17"/>
      <c r="CK350" s="17"/>
      <c r="CL350" s="17"/>
      <c r="CM350" s="17"/>
      <c r="CN350" s="17"/>
      <c r="CO350" s="17"/>
      <c r="CP350" s="17"/>
      <c r="CQ350" s="17"/>
      <c r="CR350" s="17"/>
      <c r="CS350" s="17"/>
      <c r="CT350" s="17"/>
      <c r="CU350" s="17"/>
      <c r="CV350" s="17"/>
      <c r="CW350" s="17"/>
      <c r="CX350" s="17"/>
      <c r="CY350" s="17"/>
      <c r="CZ350" s="17"/>
      <c r="DA350" s="17"/>
      <c r="DB350" s="17"/>
      <c r="DC350" s="17"/>
      <c r="DD350" s="17"/>
      <c r="DE350" s="17"/>
      <c r="DF350" s="17"/>
      <c r="DG350" s="17"/>
      <c r="DH350" s="17"/>
      <c r="DI350" s="17"/>
      <c r="DJ350" s="17"/>
      <c r="DK350" s="17"/>
      <c r="DL350" s="17"/>
      <c r="DM350" s="17"/>
      <c r="DN350" s="17"/>
      <c r="DO350" s="17"/>
      <c r="DP350" s="17"/>
      <c r="DQ350" s="17"/>
      <c r="DR350" s="17"/>
      <c r="DS350" s="17"/>
      <c r="DT350" s="17"/>
      <c r="DU350" s="17"/>
      <c r="DV350" s="17"/>
      <c r="DW350" s="17"/>
      <c r="DX350" s="17"/>
      <c r="DY350" s="17"/>
      <c r="DZ350" s="17"/>
      <c r="EA350" s="17"/>
      <c r="EB350" s="17"/>
      <c r="EC350" s="17"/>
    </row>
    <row r="351" spans="1:133" x14ac:dyDescent="0.25">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c r="BD351" s="17"/>
      <c r="BE351" s="17"/>
      <c r="BF351" s="17"/>
      <c r="BG351" s="17"/>
      <c r="BH351" s="17"/>
      <c r="BI351" s="17"/>
      <c r="BJ351" s="17"/>
      <c r="BK351" s="17"/>
      <c r="BL351" s="17"/>
      <c r="BM351" s="17"/>
      <c r="BN351" s="17"/>
      <c r="BO351" s="17"/>
      <c r="BP351" s="17"/>
      <c r="BQ351" s="17"/>
      <c r="BR351" s="17"/>
      <c r="BS351" s="17"/>
      <c r="BT351" s="17"/>
      <c r="BU351" s="17"/>
      <c r="BV351" s="17"/>
      <c r="BW351" s="17"/>
      <c r="BX351" s="17"/>
      <c r="BY351" s="17"/>
      <c r="BZ351" s="17"/>
      <c r="CA351" s="17"/>
      <c r="CB351" s="17"/>
      <c r="CC351" s="17"/>
      <c r="CD351" s="17"/>
      <c r="CE351" s="17"/>
      <c r="CF351" s="17"/>
      <c r="CG351" s="17"/>
      <c r="CH351" s="17"/>
      <c r="CI351" s="17"/>
      <c r="CJ351" s="17"/>
      <c r="CK351" s="17"/>
      <c r="CL351" s="17"/>
      <c r="CM351" s="17"/>
      <c r="CN351" s="17"/>
      <c r="CO351" s="17"/>
      <c r="CP351" s="17"/>
      <c r="CQ351" s="17"/>
      <c r="CR351" s="17"/>
      <c r="CS351" s="17"/>
      <c r="CT351" s="17"/>
      <c r="CU351" s="17"/>
      <c r="CV351" s="17"/>
      <c r="CW351" s="17"/>
      <c r="CX351" s="17"/>
      <c r="CY351" s="17"/>
      <c r="CZ351" s="17"/>
      <c r="DA351" s="17"/>
      <c r="DB351" s="17"/>
      <c r="DC351" s="17"/>
      <c r="DD351" s="17"/>
      <c r="DE351" s="17"/>
      <c r="DF351" s="17"/>
      <c r="DG351" s="17"/>
      <c r="DH351" s="17"/>
      <c r="DI351" s="17"/>
      <c r="DJ351" s="17"/>
      <c r="DK351" s="17"/>
      <c r="DL351" s="17"/>
      <c r="DM351" s="17"/>
      <c r="DN351" s="17"/>
      <c r="DO351" s="17"/>
      <c r="DP351" s="17"/>
      <c r="DQ351" s="17"/>
      <c r="DR351" s="17"/>
      <c r="DS351" s="17"/>
      <c r="DT351" s="17"/>
      <c r="DU351" s="17"/>
      <c r="DV351" s="17"/>
      <c r="DW351" s="17"/>
      <c r="DX351" s="17"/>
      <c r="DY351" s="17"/>
      <c r="DZ351" s="17"/>
      <c r="EA351" s="17"/>
      <c r="EB351" s="17"/>
      <c r="EC351" s="17"/>
    </row>
    <row r="352" spans="1:133" x14ac:dyDescent="0.25">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c r="BD352" s="17"/>
      <c r="BE352" s="17"/>
      <c r="BF352" s="17"/>
      <c r="BG352" s="17"/>
      <c r="BH352" s="17"/>
      <c r="BI352" s="17"/>
      <c r="BJ352" s="17"/>
      <c r="BK352" s="17"/>
      <c r="BL352" s="17"/>
      <c r="BM352" s="17"/>
      <c r="BN352" s="17"/>
      <c r="BO352" s="17"/>
      <c r="BP352" s="17"/>
      <c r="BQ352" s="17"/>
      <c r="BR352" s="17"/>
      <c r="BS352" s="17"/>
      <c r="BT352" s="17"/>
      <c r="BU352" s="17"/>
      <c r="BV352" s="17"/>
      <c r="BW352" s="17"/>
      <c r="BX352" s="17"/>
      <c r="BY352" s="17"/>
      <c r="BZ352" s="17"/>
      <c r="CA352" s="17"/>
      <c r="CB352" s="17"/>
      <c r="CC352" s="17"/>
      <c r="CD352" s="17"/>
      <c r="CE352" s="17"/>
      <c r="CF352" s="17"/>
      <c r="CG352" s="17"/>
      <c r="CH352" s="17"/>
      <c r="CI352" s="17"/>
      <c r="CJ352" s="17"/>
      <c r="CK352" s="17"/>
      <c r="CL352" s="17"/>
      <c r="CM352" s="17"/>
      <c r="CN352" s="17"/>
      <c r="CO352" s="17"/>
      <c r="CP352" s="17"/>
      <c r="CQ352" s="17"/>
      <c r="CR352" s="17"/>
      <c r="CS352" s="17"/>
      <c r="CT352" s="17"/>
      <c r="CU352" s="17"/>
      <c r="CV352" s="17"/>
      <c r="CW352" s="17"/>
      <c r="CX352" s="17"/>
      <c r="CY352" s="17"/>
      <c r="CZ352" s="17"/>
      <c r="DA352" s="17"/>
      <c r="DB352" s="17"/>
      <c r="DC352" s="17"/>
      <c r="DD352" s="17"/>
      <c r="DE352" s="17"/>
      <c r="DF352" s="17"/>
      <c r="DG352" s="17"/>
      <c r="DH352" s="17"/>
      <c r="DI352" s="17"/>
      <c r="DJ352" s="17"/>
      <c r="DK352" s="17"/>
      <c r="DL352" s="17"/>
      <c r="DM352" s="17"/>
      <c r="DN352" s="17"/>
      <c r="DO352" s="17"/>
      <c r="DP352" s="17"/>
      <c r="DQ352" s="17"/>
      <c r="DR352" s="17"/>
      <c r="DS352" s="17"/>
      <c r="DT352" s="17"/>
      <c r="DU352" s="17"/>
      <c r="DV352" s="17"/>
      <c r="DW352" s="17"/>
      <c r="DX352" s="17"/>
      <c r="DY352" s="17"/>
      <c r="DZ352" s="17"/>
      <c r="EA352" s="17"/>
      <c r="EB352" s="17"/>
      <c r="EC352" s="17"/>
    </row>
    <row r="353" spans="1:133" x14ac:dyDescent="0.25">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7"/>
      <c r="BD353" s="17"/>
      <c r="BE353" s="17"/>
      <c r="BF353" s="17"/>
      <c r="BG353" s="17"/>
      <c r="BH353" s="17"/>
      <c r="BI353" s="17"/>
      <c r="BJ353" s="17"/>
      <c r="BK353" s="17"/>
      <c r="BL353" s="17"/>
      <c r="BM353" s="17"/>
      <c r="BN353" s="17"/>
      <c r="BO353" s="17"/>
      <c r="BP353" s="17"/>
      <c r="BQ353" s="17"/>
      <c r="BR353" s="17"/>
      <c r="BS353" s="17"/>
      <c r="BT353" s="17"/>
      <c r="BU353" s="17"/>
      <c r="BV353" s="17"/>
      <c r="BW353" s="17"/>
      <c r="BX353" s="17"/>
      <c r="BY353" s="17"/>
      <c r="BZ353" s="17"/>
      <c r="CA353" s="17"/>
      <c r="CB353" s="17"/>
      <c r="CC353" s="17"/>
      <c r="CD353" s="17"/>
      <c r="CE353" s="17"/>
      <c r="CF353" s="17"/>
      <c r="CG353" s="17"/>
      <c r="CH353" s="17"/>
      <c r="CI353" s="17"/>
      <c r="CJ353" s="17"/>
      <c r="CK353" s="17"/>
      <c r="CL353" s="17"/>
      <c r="CM353" s="17"/>
      <c r="CN353" s="17"/>
      <c r="CO353" s="17"/>
      <c r="CP353" s="17"/>
      <c r="CQ353" s="17"/>
      <c r="CR353" s="17"/>
      <c r="CS353" s="17"/>
      <c r="CT353" s="17"/>
      <c r="CU353" s="17"/>
      <c r="CV353" s="17"/>
      <c r="CW353" s="17"/>
      <c r="CX353" s="17"/>
      <c r="CY353" s="17"/>
      <c r="CZ353" s="17"/>
      <c r="DA353" s="17"/>
      <c r="DB353" s="17"/>
      <c r="DC353" s="17"/>
      <c r="DD353" s="17"/>
      <c r="DE353" s="17"/>
      <c r="DF353" s="17"/>
      <c r="DG353" s="17"/>
      <c r="DH353" s="17"/>
      <c r="DI353" s="17"/>
      <c r="DJ353" s="17"/>
      <c r="DK353" s="17"/>
      <c r="DL353" s="17"/>
      <c r="DM353" s="17"/>
      <c r="DN353" s="17"/>
      <c r="DO353" s="17"/>
      <c r="DP353" s="17"/>
      <c r="DQ353" s="17"/>
      <c r="DR353" s="17"/>
      <c r="DS353" s="17"/>
      <c r="DT353" s="17"/>
      <c r="DU353" s="17"/>
      <c r="DV353" s="17"/>
      <c r="DW353" s="17"/>
      <c r="DX353" s="17"/>
      <c r="DY353" s="17"/>
      <c r="DZ353" s="17"/>
      <c r="EA353" s="17"/>
      <c r="EB353" s="17"/>
      <c r="EC353" s="17"/>
    </row>
    <row r="354" spans="1:133" x14ac:dyDescent="0.25">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7"/>
      <c r="BD354" s="17"/>
      <c r="BE354" s="17"/>
      <c r="BF354" s="17"/>
      <c r="BG354" s="17"/>
      <c r="BH354" s="17"/>
      <c r="BI354" s="17"/>
      <c r="BJ354" s="17"/>
      <c r="BK354" s="17"/>
      <c r="BL354" s="17"/>
      <c r="BM354" s="17"/>
      <c r="BN354" s="17"/>
      <c r="BO354" s="17"/>
      <c r="BP354" s="17"/>
      <c r="BQ354" s="17"/>
      <c r="BR354" s="17"/>
      <c r="BS354" s="17"/>
      <c r="BT354" s="17"/>
      <c r="BU354" s="17"/>
      <c r="BV354" s="17"/>
      <c r="BW354" s="17"/>
      <c r="BX354" s="17"/>
      <c r="BY354" s="17"/>
      <c r="BZ354" s="17"/>
      <c r="CA354" s="17"/>
      <c r="CB354" s="17"/>
      <c r="CC354" s="17"/>
      <c r="CD354" s="17"/>
      <c r="CE354" s="17"/>
      <c r="CF354" s="17"/>
      <c r="CG354" s="17"/>
      <c r="CH354" s="17"/>
      <c r="CI354" s="17"/>
      <c r="CJ354" s="17"/>
      <c r="CK354" s="17"/>
      <c r="CL354" s="17"/>
      <c r="CM354" s="17"/>
      <c r="CN354" s="17"/>
      <c r="CO354" s="17"/>
      <c r="CP354" s="17"/>
      <c r="CQ354" s="17"/>
      <c r="CR354" s="17"/>
      <c r="CS354" s="17"/>
      <c r="CT354" s="17"/>
      <c r="CU354" s="17"/>
      <c r="CV354" s="17"/>
      <c r="CW354" s="17"/>
      <c r="CX354" s="17"/>
      <c r="CY354" s="17"/>
      <c r="CZ354" s="17"/>
      <c r="DA354" s="17"/>
      <c r="DB354" s="17"/>
      <c r="DC354" s="17"/>
      <c r="DD354" s="17"/>
      <c r="DE354" s="17"/>
      <c r="DF354" s="17"/>
      <c r="DG354" s="17"/>
      <c r="DH354" s="17"/>
      <c r="DI354" s="17"/>
      <c r="DJ354" s="17"/>
      <c r="DK354" s="17"/>
      <c r="DL354" s="17"/>
      <c r="DM354" s="17"/>
      <c r="DN354" s="17"/>
      <c r="DO354" s="17"/>
      <c r="DP354" s="17"/>
      <c r="DQ354" s="17"/>
      <c r="DR354" s="17"/>
      <c r="DS354" s="17"/>
      <c r="DT354" s="17"/>
      <c r="DU354" s="17"/>
      <c r="DV354" s="17"/>
      <c r="DW354" s="17"/>
      <c r="DX354" s="17"/>
      <c r="DY354" s="17"/>
      <c r="DZ354" s="17"/>
      <c r="EA354" s="17"/>
      <c r="EB354" s="17"/>
      <c r="EC354" s="17"/>
    </row>
    <row r="355" spans="1:133" x14ac:dyDescent="0.2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c r="BD355" s="17"/>
      <c r="BE355" s="17"/>
      <c r="BF355" s="17"/>
      <c r="BG355" s="17"/>
      <c r="BH355" s="17"/>
      <c r="BI355" s="17"/>
      <c r="BJ355" s="17"/>
      <c r="BK355" s="17"/>
      <c r="BL355" s="17"/>
      <c r="BM355" s="17"/>
      <c r="BN355" s="17"/>
      <c r="BO355" s="17"/>
      <c r="BP355" s="17"/>
      <c r="BQ355" s="17"/>
      <c r="BR355" s="17"/>
      <c r="BS355" s="17"/>
      <c r="BT355" s="17"/>
      <c r="BU355" s="17"/>
      <c r="BV355" s="17"/>
      <c r="BW355" s="17"/>
      <c r="BX355" s="17"/>
      <c r="BY355" s="17"/>
      <c r="BZ355" s="17"/>
      <c r="CA355" s="17"/>
      <c r="CB355" s="17"/>
      <c r="CC355" s="17"/>
      <c r="CD355" s="17"/>
      <c r="CE355" s="17"/>
      <c r="CF355" s="17"/>
      <c r="CG355" s="17"/>
      <c r="CH355" s="17"/>
      <c r="CI355" s="17"/>
      <c r="CJ355" s="17"/>
      <c r="CK355" s="17"/>
      <c r="CL355" s="17"/>
      <c r="CM355" s="17"/>
      <c r="CN355" s="17"/>
      <c r="CO355" s="17"/>
      <c r="CP355" s="17"/>
      <c r="CQ355" s="17"/>
      <c r="CR355" s="17"/>
      <c r="CS355" s="17"/>
      <c r="CT355" s="17"/>
      <c r="CU355" s="17"/>
      <c r="CV355" s="17"/>
      <c r="CW355" s="17"/>
      <c r="CX355" s="17"/>
      <c r="CY355" s="17"/>
      <c r="CZ355" s="17"/>
      <c r="DA355" s="17"/>
      <c r="DB355" s="17"/>
      <c r="DC355" s="17"/>
      <c r="DD355" s="17"/>
      <c r="DE355" s="17"/>
      <c r="DF355" s="17"/>
      <c r="DG355" s="17"/>
      <c r="DH355" s="17"/>
      <c r="DI355" s="17"/>
      <c r="DJ355" s="17"/>
      <c r="DK355" s="17"/>
      <c r="DL355" s="17"/>
      <c r="DM355" s="17"/>
      <c r="DN355" s="17"/>
      <c r="DO355" s="17"/>
      <c r="DP355" s="17"/>
      <c r="DQ355" s="17"/>
      <c r="DR355" s="17"/>
      <c r="DS355" s="17"/>
      <c r="DT355" s="17"/>
      <c r="DU355" s="17"/>
      <c r="DV355" s="17"/>
      <c r="DW355" s="17"/>
      <c r="DX355" s="17"/>
      <c r="DY355" s="17"/>
      <c r="DZ355" s="17"/>
      <c r="EA355" s="17"/>
      <c r="EB355" s="17"/>
      <c r="EC355" s="17"/>
    </row>
    <row r="356" spans="1:133" x14ac:dyDescent="0.25">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7"/>
      <c r="BD356" s="17"/>
      <c r="BE356" s="17"/>
      <c r="BF356" s="17"/>
      <c r="BG356" s="17"/>
      <c r="BH356" s="17"/>
      <c r="BI356" s="17"/>
      <c r="BJ356" s="17"/>
      <c r="BK356" s="17"/>
      <c r="BL356" s="17"/>
      <c r="BM356" s="17"/>
      <c r="BN356" s="17"/>
      <c r="BO356" s="17"/>
      <c r="BP356" s="17"/>
      <c r="BQ356" s="17"/>
      <c r="BR356" s="17"/>
      <c r="BS356" s="17"/>
      <c r="BT356" s="17"/>
      <c r="BU356" s="17"/>
      <c r="BV356" s="17"/>
      <c r="BW356" s="17"/>
      <c r="BX356" s="17"/>
      <c r="BY356" s="17"/>
      <c r="BZ356" s="17"/>
      <c r="CA356" s="17"/>
      <c r="CB356" s="17"/>
      <c r="CC356" s="17"/>
      <c r="CD356" s="17"/>
      <c r="CE356" s="17"/>
      <c r="CF356" s="17"/>
      <c r="CG356" s="17"/>
      <c r="CH356" s="17"/>
      <c r="CI356" s="17"/>
      <c r="CJ356" s="17"/>
      <c r="CK356" s="17"/>
      <c r="CL356" s="17"/>
      <c r="CM356" s="17"/>
      <c r="CN356" s="17"/>
      <c r="CO356" s="17"/>
      <c r="CP356" s="17"/>
      <c r="CQ356" s="17"/>
      <c r="CR356" s="17"/>
      <c r="CS356" s="17"/>
      <c r="CT356" s="17"/>
      <c r="CU356" s="17"/>
      <c r="CV356" s="17"/>
      <c r="CW356" s="17"/>
      <c r="CX356" s="17"/>
      <c r="CY356" s="17"/>
      <c r="CZ356" s="17"/>
      <c r="DA356" s="17"/>
      <c r="DB356" s="17"/>
      <c r="DC356" s="17"/>
      <c r="DD356" s="17"/>
      <c r="DE356" s="17"/>
      <c r="DF356" s="17"/>
      <c r="DG356" s="17"/>
      <c r="DH356" s="17"/>
      <c r="DI356" s="17"/>
      <c r="DJ356" s="17"/>
      <c r="DK356" s="17"/>
      <c r="DL356" s="17"/>
      <c r="DM356" s="17"/>
      <c r="DN356" s="17"/>
      <c r="DO356" s="17"/>
      <c r="DP356" s="17"/>
      <c r="DQ356" s="17"/>
      <c r="DR356" s="17"/>
      <c r="DS356" s="17"/>
      <c r="DT356" s="17"/>
      <c r="DU356" s="17"/>
      <c r="DV356" s="17"/>
      <c r="DW356" s="17"/>
      <c r="DX356" s="17"/>
      <c r="DY356" s="17"/>
      <c r="DZ356" s="17"/>
      <c r="EA356" s="17"/>
      <c r="EB356" s="17"/>
      <c r="EC356" s="17"/>
    </row>
    <row r="357" spans="1:133" x14ac:dyDescent="0.25">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c r="BD357" s="17"/>
      <c r="BE357" s="17"/>
      <c r="BF357" s="17"/>
      <c r="BG357" s="17"/>
      <c r="BH357" s="17"/>
      <c r="BI357" s="17"/>
      <c r="BJ357" s="17"/>
      <c r="BK357" s="17"/>
      <c r="BL357" s="17"/>
      <c r="BM357" s="17"/>
      <c r="BN357" s="17"/>
      <c r="BO357" s="17"/>
      <c r="BP357" s="17"/>
      <c r="BQ357" s="17"/>
      <c r="BR357" s="17"/>
      <c r="BS357" s="17"/>
      <c r="BT357" s="17"/>
      <c r="BU357" s="17"/>
      <c r="BV357" s="17"/>
      <c r="BW357" s="17"/>
      <c r="BX357" s="17"/>
      <c r="BY357" s="17"/>
      <c r="BZ357" s="17"/>
      <c r="CA357" s="17"/>
      <c r="CB357" s="17"/>
      <c r="CC357" s="17"/>
      <c r="CD357" s="17"/>
      <c r="CE357" s="17"/>
      <c r="CF357" s="17"/>
      <c r="CG357" s="17"/>
      <c r="CH357" s="17"/>
      <c r="CI357" s="17"/>
      <c r="CJ357" s="17"/>
      <c r="CK357" s="17"/>
      <c r="CL357" s="17"/>
      <c r="CM357" s="17"/>
      <c r="CN357" s="17"/>
      <c r="CO357" s="17"/>
      <c r="CP357" s="17"/>
      <c r="CQ357" s="17"/>
      <c r="CR357" s="17"/>
      <c r="CS357" s="17"/>
      <c r="CT357" s="17"/>
      <c r="CU357" s="17"/>
      <c r="CV357" s="17"/>
      <c r="CW357" s="17"/>
      <c r="CX357" s="17"/>
      <c r="CY357" s="17"/>
      <c r="CZ357" s="17"/>
      <c r="DA357" s="17"/>
      <c r="DB357" s="17"/>
      <c r="DC357" s="17"/>
      <c r="DD357" s="17"/>
      <c r="DE357" s="17"/>
      <c r="DF357" s="17"/>
      <c r="DG357" s="17"/>
      <c r="DH357" s="17"/>
      <c r="DI357" s="17"/>
      <c r="DJ357" s="17"/>
      <c r="DK357" s="17"/>
      <c r="DL357" s="17"/>
      <c r="DM357" s="17"/>
      <c r="DN357" s="17"/>
      <c r="DO357" s="17"/>
      <c r="DP357" s="17"/>
      <c r="DQ357" s="17"/>
      <c r="DR357" s="17"/>
      <c r="DS357" s="17"/>
      <c r="DT357" s="17"/>
      <c r="DU357" s="17"/>
      <c r="DV357" s="17"/>
      <c r="DW357" s="17"/>
      <c r="DX357" s="17"/>
      <c r="DY357" s="17"/>
      <c r="DZ357" s="17"/>
      <c r="EA357" s="17"/>
      <c r="EB357" s="17"/>
      <c r="EC357" s="17"/>
    </row>
    <row r="358" spans="1:133" x14ac:dyDescent="0.25">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7"/>
      <c r="BD358" s="17"/>
      <c r="BE358" s="17"/>
      <c r="BF358" s="17"/>
      <c r="BG358" s="17"/>
      <c r="BH358" s="17"/>
      <c r="BI358" s="17"/>
      <c r="BJ358" s="17"/>
      <c r="BK358" s="17"/>
      <c r="BL358" s="17"/>
      <c r="BM358" s="17"/>
      <c r="BN358" s="17"/>
      <c r="BO358" s="17"/>
      <c r="BP358" s="17"/>
      <c r="BQ358" s="17"/>
      <c r="BR358" s="17"/>
      <c r="BS358" s="17"/>
      <c r="BT358" s="17"/>
      <c r="BU358" s="17"/>
      <c r="BV358" s="17"/>
      <c r="BW358" s="17"/>
      <c r="BX358" s="17"/>
      <c r="BY358" s="17"/>
      <c r="BZ358" s="17"/>
      <c r="CA358" s="17"/>
      <c r="CB358" s="17"/>
      <c r="CC358" s="17"/>
      <c r="CD358" s="17"/>
      <c r="CE358" s="17"/>
      <c r="CF358" s="17"/>
      <c r="CG358" s="17"/>
      <c r="CH358" s="17"/>
      <c r="CI358" s="17"/>
      <c r="CJ358" s="17"/>
      <c r="CK358" s="17"/>
      <c r="CL358" s="17"/>
      <c r="CM358" s="17"/>
      <c r="CN358" s="17"/>
      <c r="CO358" s="17"/>
      <c r="CP358" s="17"/>
      <c r="CQ358" s="17"/>
      <c r="CR358" s="17"/>
      <c r="CS358" s="17"/>
      <c r="CT358" s="17"/>
      <c r="CU358" s="17"/>
      <c r="CV358" s="17"/>
      <c r="CW358" s="17"/>
      <c r="CX358" s="17"/>
      <c r="CY358" s="17"/>
      <c r="CZ358" s="17"/>
      <c r="DA358" s="17"/>
      <c r="DB358" s="17"/>
      <c r="DC358" s="17"/>
      <c r="DD358" s="17"/>
      <c r="DE358" s="17"/>
      <c r="DF358" s="17"/>
      <c r="DG358" s="17"/>
      <c r="DH358" s="17"/>
      <c r="DI358" s="17"/>
      <c r="DJ358" s="17"/>
      <c r="DK358" s="17"/>
      <c r="DL358" s="17"/>
      <c r="DM358" s="17"/>
      <c r="DN358" s="17"/>
      <c r="DO358" s="17"/>
      <c r="DP358" s="17"/>
      <c r="DQ358" s="17"/>
      <c r="DR358" s="17"/>
      <c r="DS358" s="17"/>
      <c r="DT358" s="17"/>
      <c r="DU358" s="17"/>
      <c r="DV358" s="17"/>
      <c r="DW358" s="17"/>
      <c r="DX358" s="17"/>
      <c r="DY358" s="17"/>
      <c r="DZ358" s="17"/>
      <c r="EA358" s="17"/>
      <c r="EB358" s="17"/>
      <c r="EC358" s="17"/>
    </row>
    <row r="359" spans="1:133" x14ac:dyDescent="0.25">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7"/>
      <c r="BU359" s="17"/>
      <c r="BV359" s="17"/>
      <c r="BW359" s="17"/>
      <c r="BX359" s="17"/>
      <c r="BY359" s="17"/>
      <c r="BZ359" s="17"/>
      <c r="CA359" s="17"/>
      <c r="CB359" s="17"/>
      <c r="CC359" s="17"/>
      <c r="CD359" s="17"/>
      <c r="CE359" s="17"/>
      <c r="CF359" s="17"/>
      <c r="CG359" s="17"/>
      <c r="CH359" s="17"/>
      <c r="CI359" s="17"/>
      <c r="CJ359" s="17"/>
      <c r="CK359" s="17"/>
      <c r="CL359" s="17"/>
      <c r="CM359" s="17"/>
      <c r="CN359" s="17"/>
      <c r="CO359" s="17"/>
      <c r="CP359" s="17"/>
      <c r="CQ359" s="17"/>
      <c r="CR359" s="17"/>
      <c r="CS359" s="17"/>
      <c r="CT359" s="17"/>
      <c r="CU359" s="17"/>
      <c r="CV359" s="17"/>
      <c r="CW359" s="17"/>
      <c r="CX359" s="17"/>
      <c r="CY359" s="17"/>
      <c r="CZ359" s="17"/>
      <c r="DA359" s="17"/>
      <c r="DB359" s="17"/>
      <c r="DC359" s="17"/>
      <c r="DD359" s="17"/>
      <c r="DE359" s="17"/>
      <c r="DF359" s="17"/>
      <c r="DG359" s="17"/>
      <c r="DH359" s="17"/>
      <c r="DI359" s="17"/>
      <c r="DJ359" s="17"/>
      <c r="DK359" s="17"/>
      <c r="DL359" s="17"/>
      <c r="DM359" s="17"/>
      <c r="DN359" s="17"/>
      <c r="DO359" s="17"/>
      <c r="DP359" s="17"/>
      <c r="DQ359" s="17"/>
      <c r="DR359" s="17"/>
      <c r="DS359" s="17"/>
      <c r="DT359" s="17"/>
      <c r="DU359" s="17"/>
      <c r="DV359" s="17"/>
      <c r="DW359" s="17"/>
      <c r="DX359" s="17"/>
      <c r="DY359" s="17"/>
      <c r="DZ359" s="17"/>
      <c r="EA359" s="17"/>
      <c r="EB359" s="17"/>
      <c r="EC359" s="17"/>
    </row>
    <row r="360" spans="1:133" x14ac:dyDescent="0.25">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7"/>
      <c r="BD360" s="17"/>
      <c r="BE360" s="17"/>
      <c r="BF360" s="17"/>
      <c r="BG360" s="17"/>
      <c r="BH360" s="17"/>
      <c r="BI360" s="17"/>
      <c r="BJ360" s="17"/>
      <c r="BK360" s="17"/>
      <c r="BL360" s="17"/>
      <c r="BM360" s="17"/>
      <c r="BN360" s="17"/>
      <c r="BO360" s="17"/>
      <c r="BP360" s="17"/>
      <c r="BQ360" s="17"/>
      <c r="BR360" s="17"/>
      <c r="BS360" s="17"/>
      <c r="BT360" s="17"/>
      <c r="BU360" s="17"/>
      <c r="BV360" s="17"/>
      <c r="BW360" s="17"/>
      <c r="BX360" s="17"/>
      <c r="BY360" s="17"/>
      <c r="BZ360" s="17"/>
      <c r="CA360" s="17"/>
      <c r="CB360" s="17"/>
      <c r="CC360" s="17"/>
      <c r="CD360" s="17"/>
      <c r="CE360" s="17"/>
      <c r="CF360" s="17"/>
      <c r="CG360" s="17"/>
      <c r="CH360" s="17"/>
      <c r="CI360" s="17"/>
      <c r="CJ360" s="17"/>
      <c r="CK360" s="17"/>
      <c r="CL360" s="17"/>
      <c r="CM360" s="17"/>
      <c r="CN360" s="17"/>
      <c r="CO360" s="17"/>
      <c r="CP360" s="17"/>
      <c r="CQ360" s="17"/>
      <c r="CR360" s="17"/>
      <c r="CS360" s="17"/>
      <c r="CT360" s="17"/>
      <c r="CU360" s="17"/>
      <c r="CV360" s="17"/>
      <c r="CW360" s="17"/>
      <c r="CX360" s="17"/>
      <c r="CY360" s="17"/>
      <c r="CZ360" s="17"/>
      <c r="DA360" s="17"/>
      <c r="DB360" s="17"/>
      <c r="DC360" s="17"/>
      <c r="DD360" s="17"/>
      <c r="DE360" s="17"/>
      <c r="DF360" s="17"/>
      <c r="DG360" s="17"/>
      <c r="DH360" s="17"/>
      <c r="DI360" s="17"/>
      <c r="DJ360" s="17"/>
      <c r="DK360" s="17"/>
      <c r="DL360" s="17"/>
      <c r="DM360" s="17"/>
      <c r="DN360" s="17"/>
      <c r="DO360" s="17"/>
      <c r="DP360" s="17"/>
      <c r="DQ360" s="17"/>
      <c r="DR360" s="17"/>
      <c r="DS360" s="17"/>
      <c r="DT360" s="17"/>
      <c r="DU360" s="17"/>
      <c r="DV360" s="17"/>
      <c r="DW360" s="17"/>
      <c r="DX360" s="17"/>
      <c r="DY360" s="17"/>
      <c r="DZ360" s="17"/>
      <c r="EA360" s="17"/>
      <c r="EB360" s="17"/>
      <c r="EC360" s="17"/>
    </row>
    <row r="361" spans="1:133" x14ac:dyDescent="0.25">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c r="BD361" s="17"/>
      <c r="BE361" s="17"/>
      <c r="BF361" s="17"/>
      <c r="BG361" s="17"/>
      <c r="BH361" s="17"/>
      <c r="BI361" s="17"/>
      <c r="BJ361" s="17"/>
      <c r="BK361" s="17"/>
      <c r="BL361" s="17"/>
      <c r="BM361" s="17"/>
      <c r="BN361" s="17"/>
      <c r="BO361" s="17"/>
      <c r="BP361" s="17"/>
      <c r="BQ361" s="17"/>
      <c r="BR361" s="17"/>
      <c r="BS361" s="17"/>
      <c r="BT361" s="17"/>
      <c r="BU361" s="17"/>
      <c r="BV361" s="17"/>
      <c r="BW361" s="17"/>
      <c r="BX361" s="17"/>
      <c r="BY361" s="17"/>
      <c r="BZ361" s="17"/>
      <c r="CA361" s="17"/>
      <c r="CB361" s="17"/>
      <c r="CC361" s="17"/>
      <c r="CD361" s="17"/>
      <c r="CE361" s="17"/>
      <c r="CF361" s="17"/>
      <c r="CG361" s="17"/>
      <c r="CH361" s="17"/>
      <c r="CI361" s="17"/>
      <c r="CJ361" s="17"/>
      <c r="CK361" s="17"/>
      <c r="CL361" s="17"/>
      <c r="CM361" s="17"/>
      <c r="CN361" s="17"/>
      <c r="CO361" s="17"/>
      <c r="CP361" s="17"/>
      <c r="CQ361" s="17"/>
      <c r="CR361" s="17"/>
      <c r="CS361" s="17"/>
      <c r="CT361" s="17"/>
      <c r="CU361" s="17"/>
      <c r="CV361" s="17"/>
      <c r="CW361" s="17"/>
      <c r="CX361" s="17"/>
      <c r="CY361" s="17"/>
      <c r="CZ361" s="17"/>
      <c r="DA361" s="17"/>
      <c r="DB361" s="17"/>
      <c r="DC361" s="17"/>
      <c r="DD361" s="17"/>
      <c r="DE361" s="17"/>
      <c r="DF361" s="17"/>
      <c r="DG361" s="17"/>
      <c r="DH361" s="17"/>
      <c r="DI361" s="17"/>
      <c r="DJ361" s="17"/>
      <c r="DK361" s="17"/>
      <c r="DL361" s="17"/>
      <c r="DM361" s="17"/>
      <c r="DN361" s="17"/>
      <c r="DO361" s="17"/>
      <c r="DP361" s="17"/>
      <c r="DQ361" s="17"/>
      <c r="DR361" s="17"/>
      <c r="DS361" s="17"/>
      <c r="DT361" s="17"/>
      <c r="DU361" s="17"/>
      <c r="DV361" s="17"/>
      <c r="DW361" s="17"/>
      <c r="DX361" s="17"/>
      <c r="DY361" s="17"/>
      <c r="DZ361" s="17"/>
      <c r="EA361" s="17"/>
      <c r="EB361" s="17"/>
      <c r="EC361" s="17"/>
    </row>
    <row r="362" spans="1:133" x14ac:dyDescent="0.25">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c r="BD362" s="17"/>
      <c r="BE362" s="17"/>
      <c r="BF362" s="17"/>
      <c r="BG362" s="17"/>
      <c r="BH362" s="17"/>
      <c r="BI362" s="17"/>
      <c r="BJ362" s="17"/>
      <c r="BK362" s="17"/>
      <c r="BL362" s="17"/>
      <c r="BM362" s="17"/>
      <c r="BN362" s="17"/>
      <c r="BO362" s="17"/>
      <c r="BP362" s="17"/>
      <c r="BQ362" s="17"/>
      <c r="BR362" s="17"/>
      <c r="BS362" s="17"/>
      <c r="BT362" s="17"/>
      <c r="BU362" s="17"/>
      <c r="BV362" s="17"/>
      <c r="BW362" s="17"/>
      <c r="BX362" s="17"/>
      <c r="BY362" s="17"/>
      <c r="BZ362" s="17"/>
      <c r="CA362" s="17"/>
      <c r="CB362" s="17"/>
      <c r="CC362" s="17"/>
      <c r="CD362" s="17"/>
      <c r="CE362" s="17"/>
      <c r="CF362" s="17"/>
      <c r="CG362" s="17"/>
      <c r="CH362" s="17"/>
      <c r="CI362" s="17"/>
      <c r="CJ362" s="17"/>
      <c r="CK362" s="17"/>
      <c r="CL362" s="17"/>
      <c r="CM362" s="17"/>
      <c r="CN362" s="17"/>
      <c r="CO362" s="17"/>
      <c r="CP362" s="17"/>
      <c r="CQ362" s="17"/>
      <c r="CR362" s="17"/>
      <c r="CS362" s="17"/>
      <c r="CT362" s="17"/>
      <c r="CU362" s="17"/>
      <c r="CV362" s="17"/>
      <c r="CW362" s="17"/>
      <c r="CX362" s="17"/>
      <c r="CY362" s="17"/>
      <c r="CZ362" s="17"/>
      <c r="DA362" s="17"/>
      <c r="DB362" s="17"/>
      <c r="DC362" s="17"/>
      <c r="DD362" s="17"/>
      <c r="DE362" s="17"/>
      <c r="DF362" s="17"/>
      <c r="DG362" s="17"/>
      <c r="DH362" s="17"/>
      <c r="DI362" s="17"/>
      <c r="DJ362" s="17"/>
      <c r="DK362" s="17"/>
      <c r="DL362" s="17"/>
      <c r="DM362" s="17"/>
      <c r="DN362" s="17"/>
      <c r="DO362" s="17"/>
      <c r="DP362" s="17"/>
      <c r="DQ362" s="17"/>
      <c r="DR362" s="17"/>
      <c r="DS362" s="17"/>
      <c r="DT362" s="17"/>
      <c r="DU362" s="17"/>
      <c r="DV362" s="17"/>
      <c r="DW362" s="17"/>
      <c r="DX362" s="17"/>
      <c r="DY362" s="17"/>
      <c r="DZ362" s="17"/>
      <c r="EA362" s="17"/>
      <c r="EB362" s="17"/>
      <c r="EC362" s="17"/>
    </row>
    <row r="363" spans="1:133" x14ac:dyDescent="0.25">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c r="BC363" s="17"/>
      <c r="BD363" s="17"/>
      <c r="BE363" s="17"/>
      <c r="BF363" s="17"/>
      <c r="BG363" s="17"/>
      <c r="BH363" s="17"/>
      <c r="BI363" s="17"/>
      <c r="BJ363" s="17"/>
      <c r="BK363" s="17"/>
      <c r="BL363" s="17"/>
      <c r="BM363" s="17"/>
      <c r="BN363" s="17"/>
      <c r="BO363" s="17"/>
      <c r="BP363" s="17"/>
      <c r="BQ363" s="17"/>
      <c r="BR363" s="17"/>
      <c r="BS363" s="17"/>
      <c r="BT363" s="17"/>
      <c r="BU363" s="17"/>
      <c r="BV363" s="17"/>
      <c r="BW363" s="17"/>
      <c r="BX363" s="17"/>
      <c r="BY363" s="17"/>
      <c r="BZ363" s="17"/>
      <c r="CA363" s="17"/>
      <c r="CB363" s="17"/>
      <c r="CC363" s="17"/>
      <c r="CD363" s="17"/>
      <c r="CE363" s="17"/>
      <c r="CF363" s="17"/>
      <c r="CG363" s="17"/>
      <c r="CH363" s="17"/>
      <c r="CI363" s="17"/>
      <c r="CJ363" s="17"/>
      <c r="CK363" s="17"/>
      <c r="CL363" s="17"/>
      <c r="CM363" s="17"/>
      <c r="CN363" s="17"/>
      <c r="CO363" s="17"/>
      <c r="CP363" s="17"/>
      <c r="CQ363" s="17"/>
      <c r="CR363" s="17"/>
      <c r="CS363" s="17"/>
      <c r="CT363" s="17"/>
      <c r="CU363" s="17"/>
      <c r="CV363" s="17"/>
      <c r="CW363" s="17"/>
      <c r="CX363" s="17"/>
      <c r="CY363" s="17"/>
      <c r="CZ363" s="17"/>
      <c r="DA363" s="17"/>
      <c r="DB363" s="17"/>
      <c r="DC363" s="17"/>
      <c r="DD363" s="17"/>
      <c r="DE363" s="17"/>
      <c r="DF363" s="17"/>
      <c r="DG363" s="17"/>
      <c r="DH363" s="17"/>
      <c r="DI363" s="17"/>
      <c r="DJ363" s="17"/>
      <c r="DK363" s="17"/>
      <c r="DL363" s="17"/>
      <c r="DM363" s="17"/>
      <c r="DN363" s="17"/>
      <c r="DO363" s="17"/>
      <c r="DP363" s="17"/>
      <c r="DQ363" s="17"/>
      <c r="DR363" s="17"/>
      <c r="DS363" s="17"/>
      <c r="DT363" s="17"/>
      <c r="DU363" s="17"/>
      <c r="DV363" s="17"/>
      <c r="DW363" s="17"/>
      <c r="DX363" s="17"/>
      <c r="DY363" s="17"/>
      <c r="DZ363" s="17"/>
      <c r="EA363" s="17"/>
      <c r="EB363" s="17"/>
      <c r="EC363" s="17"/>
    </row>
    <row r="364" spans="1:133" x14ac:dyDescent="0.25">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c r="BD364" s="17"/>
      <c r="BE364" s="17"/>
      <c r="BF364" s="17"/>
      <c r="BG364" s="17"/>
      <c r="BH364" s="17"/>
      <c r="BI364" s="17"/>
      <c r="BJ364" s="17"/>
      <c r="BK364" s="17"/>
      <c r="BL364" s="17"/>
      <c r="BM364" s="17"/>
      <c r="BN364" s="17"/>
      <c r="BO364" s="17"/>
      <c r="BP364" s="17"/>
      <c r="BQ364" s="17"/>
      <c r="BR364" s="17"/>
      <c r="BS364" s="17"/>
      <c r="BT364" s="17"/>
      <c r="BU364" s="17"/>
      <c r="BV364" s="17"/>
      <c r="BW364" s="17"/>
      <c r="BX364" s="17"/>
      <c r="BY364" s="17"/>
      <c r="BZ364" s="17"/>
      <c r="CA364" s="17"/>
      <c r="CB364" s="17"/>
      <c r="CC364" s="17"/>
      <c r="CD364" s="17"/>
      <c r="CE364" s="17"/>
      <c r="CF364" s="17"/>
      <c r="CG364" s="17"/>
      <c r="CH364" s="17"/>
      <c r="CI364" s="17"/>
      <c r="CJ364" s="17"/>
      <c r="CK364" s="17"/>
      <c r="CL364" s="17"/>
      <c r="CM364" s="17"/>
      <c r="CN364" s="17"/>
      <c r="CO364" s="17"/>
      <c r="CP364" s="17"/>
      <c r="CQ364" s="17"/>
      <c r="CR364" s="17"/>
      <c r="CS364" s="17"/>
      <c r="CT364" s="17"/>
      <c r="CU364" s="17"/>
      <c r="CV364" s="17"/>
      <c r="CW364" s="17"/>
      <c r="CX364" s="17"/>
      <c r="CY364" s="17"/>
      <c r="CZ364" s="17"/>
      <c r="DA364" s="17"/>
      <c r="DB364" s="17"/>
      <c r="DC364" s="17"/>
      <c r="DD364" s="17"/>
      <c r="DE364" s="17"/>
      <c r="DF364" s="17"/>
      <c r="DG364" s="17"/>
      <c r="DH364" s="17"/>
      <c r="DI364" s="17"/>
      <c r="DJ364" s="17"/>
      <c r="DK364" s="17"/>
      <c r="DL364" s="17"/>
      <c r="DM364" s="17"/>
      <c r="DN364" s="17"/>
      <c r="DO364" s="17"/>
      <c r="DP364" s="17"/>
      <c r="DQ364" s="17"/>
      <c r="DR364" s="17"/>
      <c r="DS364" s="17"/>
      <c r="DT364" s="17"/>
      <c r="DU364" s="17"/>
      <c r="DV364" s="17"/>
      <c r="DW364" s="17"/>
      <c r="DX364" s="17"/>
      <c r="DY364" s="17"/>
      <c r="DZ364" s="17"/>
      <c r="EA364" s="17"/>
      <c r="EB364" s="17"/>
      <c r="EC364" s="17"/>
    </row>
    <row r="365" spans="1:133" x14ac:dyDescent="0.2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c r="BD365" s="17"/>
      <c r="BE365" s="17"/>
      <c r="BF365" s="17"/>
      <c r="BG365" s="17"/>
      <c r="BH365" s="17"/>
      <c r="BI365" s="17"/>
      <c r="BJ365" s="17"/>
      <c r="BK365" s="17"/>
      <c r="BL365" s="17"/>
      <c r="BM365" s="17"/>
      <c r="BN365" s="17"/>
      <c r="BO365" s="17"/>
      <c r="BP365" s="17"/>
      <c r="BQ365" s="17"/>
      <c r="BR365" s="17"/>
      <c r="BS365" s="17"/>
      <c r="BT365" s="17"/>
      <c r="BU365" s="17"/>
      <c r="BV365" s="17"/>
      <c r="BW365" s="17"/>
      <c r="BX365" s="17"/>
      <c r="BY365" s="17"/>
      <c r="BZ365" s="17"/>
      <c r="CA365" s="17"/>
      <c r="CB365" s="17"/>
      <c r="CC365" s="17"/>
      <c r="CD365" s="17"/>
      <c r="CE365" s="17"/>
      <c r="CF365" s="17"/>
      <c r="CG365" s="17"/>
      <c r="CH365" s="17"/>
      <c r="CI365" s="17"/>
      <c r="CJ365" s="17"/>
      <c r="CK365" s="17"/>
      <c r="CL365" s="17"/>
      <c r="CM365" s="17"/>
      <c r="CN365" s="17"/>
      <c r="CO365" s="17"/>
      <c r="CP365" s="17"/>
      <c r="CQ365" s="17"/>
      <c r="CR365" s="17"/>
      <c r="CS365" s="17"/>
      <c r="CT365" s="17"/>
      <c r="CU365" s="17"/>
      <c r="CV365" s="17"/>
      <c r="CW365" s="17"/>
      <c r="CX365" s="17"/>
      <c r="CY365" s="17"/>
      <c r="CZ365" s="17"/>
      <c r="DA365" s="17"/>
      <c r="DB365" s="17"/>
      <c r="DC365" s="17"/>
      <c r="DD365" s="17"/>
      <c r="DE365" s="17"/>
      <c r="DF365" s="17"/>
      <c r="DG365" s="17"/>
      <c r="DH365" s="17"/>
      <c r="DI365" s="17"/>
      <c r="DJ365" s="17"/>
      <c r="DK365" s="17"/>
      <c r="DL365" s="17"/>
      <c r="DM365" s="17"/>
      <c r="DN365" s="17"/>
      <c r="DO365" s="17"/>
      <c r="DP365" s="17"/>
      <c r="DQ365" s="17"/>
      <c r="DR365" s="17"/>
      <c r="DS365" s="17"/>
      <c r="DT365" s="17"/>
      <c r="DU365" s="17"/>
      <c r="DV365" s="17"/>
      <c r="DW365" s="17"/>
      <c r="DX365" s="17"/>
      <c r="DY365" s="17"/>
      <c r="DZ365" s="17"/>
      <c r="EA365" s="17"/>
      <c r="EB365" s="17"/>
      <c r="EC365" s="17"/>
    </row>
    <row r="366" spans="1:133" x14ac:dyDescent="0.25">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7"/>
      <c r="BD366" s="17"/>
      <c r="BE366" s="17"/>
      <c r="BF366" s="17"/>
      <c r="BG366" s="17"/>
      <c r="BH366" s="17"/>
      <c r="BI366" s="17"/>
      <c r="BJ366" s="17"/>
      <c r="BK366" s="17"/>
      <c r="BL366" s="17"/>
      <c r="BM366" s="17"/>
      <c r="BN366" s="17"/>
      <c r="BO366" s="17"/>
      <c r="BP366" s="17"/>
      <c r="BQ366" s="17"/>
      <c r="BR366" s="17"/>
      <c r="BS366" s="17"/>
      <c r="BT366" s="17"/>
      <c r="BU366" s="17"/>
      <c r="BV366" s="17"/>
      <c r="BW366" s="17"/>
      <c r="BX366" s="17"/>
      <c r="BY366" s="17"/>
      <c r="BZ366" s="17"/>
      <c r="CA366" s="17"/>
      <c r="CB366" s="17"/>
      <c r="CC366" s="17"/>
      <c r="CD366" s="17"/>
      <c r="CE366" s="17"/>
      <c r="CF366" s="17"/>
      <c r="CG366" s="17"/>
      <c r="CH366" s="17"/>
      <c r="CI366" s="17"/>
      <c r="CJ366" s="17"/>
      <c r="CK366" s="17"/>
      <c r="CL366" s="17"/>
      <c r="CM366" s="17"/>
      <c r="CN366" s="17"/>
      <c r="CO366" s="17"/>
      <c r="CP366" s="17"/>
      <c r="CQ366" s="17"/>
      <c r="CR366" s="17"/>
      <c r="CS366" s="17"/>
      <c r="CT366" s="17"/>
      <c r="CU366" s="17"/>
      <c r="CV366" s="17"/>
      <c r="CW366" s="17"/>
      <c r="CX366" s="17"/>
      <c r="CY366" s="17"/>
      <c r="CZ366" s="17"/>
      <c r="DA366" s="17"/>
      <c r="DB366" s="17"/>
      <c r="DC366" s="17"/>
      <c r="DD366" s="17"/>
      <c r="DE366" s="17"/>
      <c r="DF366" s="17"/>
      <c r="DG366" s="17"/>
      <c r="DH366" s="17"/>
      <c r="DI366" s="17"/>
      <c r="DJ366" s="17"/>
      <c r="DK366" s="17"/>
      <c r="DL366" s="17"/>
      <c r="DM366" s="17"/>
      <c r="DN366" s="17"/>
      <c r="DO366" s="17"/>
      <c r="DP366" s="17"/>
      <c r="DQ366" s="17"/>
      <c r="DR366" s="17"/>
      <c r="DS366" s="17"/>
      <c r="DT366" s="17"/>
      <c r="DU366" s="17"/>
      <c r="DV366" s="17"/>
      <c r="DW366" s="17"/>
      <c r="DX366" s="17"/>
      <c r="DY366" s="17"/>
      <c r="DZ366" s="17"/>
      <c r="EA366" s="17"/>
      <c r="EB366" s="17"/>
      <c r="EC366" s="17"/>
    </row>
    <row r="367" spans="1:133" x14ac:dyDescent="0.25">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c r="BD367" s="17"/>
      <c r="BE367" s="17"/>
      <c r="BF367" s="17"/>
      <c r="BG367" s="17"/>
      <c r="BH367" s="17"/>
      <c r="BI367" s="17"/>
      <c r="BJ367" s="17"/>
      <c r="BK367" s="17"/>
      <c r="BL367" s="17"/>
      <c r="BM367" s="17"/>
      <c r="BN367" s="17"/>
      <c r="BO367" s="17"/>
      <c r="BP367" s="17"/>
      <c r="BQ367" s="17"/>
      <c r="BR367" s="17"/>
      <c r="BS367" s="17"/>
      <c r="BT367" s="17"/>
      <c r="BU367" s="17"/>
      <c r="BV367" s="17"/>
      <c r="BW367" s="17"/>
      <c r="BX367" s="17"/>
      <c r="BY367" s="17"/>
      <c r="BZ367" s="17"/>
      <c r="CA367" s="17"/>
      <c r="CB367" s="17"/>
      <c r="CC367" s="17"/>
      <c r="CD367" s="17"/>
      <c r="CE367" s="17"/>
      <c r="CF367" s="17"/>
      <c r="CG367" s="17"/>
      <c r="CH367" s="17"/>
      <c r="CI367" s="17"/>
      <c r="CJ367" s="17"/>
      <c r="CK367" s="17"/>
      <c r="CL367" s="17"/>
      <c r="CM367" s="17"/>
      <c r="CN367" s="17"/>
      <c r="CO367" s="17"/>
      <c r="CP367" s="17"/>
      <c r="CQ367" s="17"/>
      <c r="CR367" s="17"/>
      <c r="CS367" s="17"/>
      <c r="CT367" s="17"/>
      <c r="CU367" s="17"/>
      <c r="CV367" s="17"/>
      <c r="CW367" s="17"/>
      <c r="CX367" s="17"/>
      <c r="CY367" s="17"/>
      <c r="CZ367" s="17"/>
      <c r="DA367" s="17"/>
      <c r="DB367" s="17"/>
      <c r="DC367" s="17"/>
      <c r="DD367" s="17"/>
      <c r="DE367" s="17"/>
      <c r="DF367" s="17"/>
      <c r="DG367" s="17"/>
      <c r="DH367" s="17"/>
      <c r="DI367" s="17"/>
      <c r="DJ367" s="17"/>
      <c r="DK367" s="17"/>
      <c r="DL367" s="17"/>
      <c r="DM367" s="17"/>
      <c r="DN367" s="17"/>
      <c r="DO367" s="17"/>
      <c r="DP367" s="17"/>
      <c r="DQ367" s="17"/>
      <c r="DR367" s="17"/>
      <c r="DS367" s="17"/>
      <c r="DT367" s="17"/>
      <c r="DU367" s="17"/>
      <c r="DV367" s="17"/>
      <c r="DW367" s="17"/>
      <c r="DX367" s="17"/>
      <c r="DY367" s="17"/>
      <c r="DZ367" s="17"/>
      <c r="EA367" s="17"/>
      <c r="EB367" s="17"/>
      <c r="EC367" s="17"/>
    </row>
    <row r="368" spans="1:133" x14ac:dyDescent="0.25">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7"/>
      <c r="BD368" s="17"/>
      <c r="BE368" s="17"/>
      <c r="BF368" s="17"/>
      <c r="BG368" s="17"/>
      <c r="BH368" s="17"/>
      <c r="BI368" s="17"/>
      <c r="BJ368" s="17"/>
      <c r="BK368" s="17"/>
      <c r="BL368" s="17"/>
      <c r="BM368" s="17"/>
      <c r="BN368" s="17"/>
      <c r="BO368" s="17"/>
      <c r="BP368" s="17"/>
      <c r="BQ368" s="17"/>
      <c r="BR368" s="17"/>
      <c r="BS368" s="17"/>
      <c r="BT368" s="17"/>
      <c r="BU368" s="17"/>
      <c r="BV368" s="17"/>
      <c r="BW368" s="17"/>
      <c r="BX368" s="17"/>
      <c r="BY368" s="17"/>
      <c r="BZ368" s="17"/>
      <c r="CA368" s="17"/>
      <c r="CB368" s="17"/>
      <c r="CC368" s="17"/>
      <c r="CD368" s="17"/>
      <c r="CE368" s="17"/>
      <c r="CF368" s="17"/>
      <c r="CG368" s="17"/>
      <c r="CH368" s="17"/>
      <c r="CI368" s="17"/>
      <c r="CJ368" s="17"/>
      <c r="CK368" s="17"/>
      <c r="CL368" s="17"/>
      <c r="CM368" s="17"/>
      <c r="CN368" s="17"/>
      <c r="CO368" s="17"/>
      <c r="CP368" s="17"/>
      <c r="CQ368" s="17"/>
      <c r="CR368" s="17"/>
      <c r="CS368" s="17"/>
      <c r="CT368" s="17"/>
      <c r="CU368" s="17"/>
      <c r="CV368" s="17"/>
      <c r="CW368" s="17"/>
      <c r="CX368" s="17"/>
      <c r="CY368" s="17"/>
      <c r="CZ368" s="17"/>
      <c r="DA368" s="17"/>
      <c r="DB368" s="17"/>
      <c r="DC368" s="17"/>
      <c r="DD368" s="17"/>
      <c r="DE368" s="17"/>
      <c r="DF368" s="17"/>
      <c r="DG368" s="17"/>
      <c r="DH368" s="17"/>
      <c r="DI368" s="17"/>
      <c r="DJ368" s="17"/>
      <c r="DK368" s="17"/>
      <c r="DL368" s="17"/>
      <c r="DM368" s="17"/>
      <c r="DN368" s="17"/>
      <c r="DO368" s="17"/>
      <c r="DP368" s="17"/>
      <c r="DQ368" s="17"/>
      <c r="DR368" s="17"/>
      <c r="DS368" s="17"/>
      <c r="DT368" s="17"/>
      <c r="DU368" s="17"/>
      <c r="DV368" s="17"/>
      <c r="DW368" s="17"/>
      <c r="DX368" s="17"/>
      <c r="DY368" s="17"/>
      <c r="DZ368" s="17"/>
      <c r="EA368" s="17"/>
      <c r="EB368" s="17"/>
      <c r="EC368" s="17"/>
    </row>
    <row r="369" spans="1:133" x14ac:dyDescent="0.25">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c r="BD369" s="17"/>
      <c r="BE369" s="17"/>
      <c r="BF369" s="17"/>
      <c r="BG369" s="17"/>
      <c r="BH369" s="17"/>
      <c r="BI369" s="17"/>
      <c r="BJ369" s="17"/>
      <c r="BK369" s="17"/>
      <c r="BL369" s="17"/>
      <c r="BM369" s="17"/>
      <c r="BN369" s="17"/>
      <c r="BO369" s="17"/>
      <c r="BP369" s="17"/>
      <c r="BQ369" s="17"/>
      <c r="BR369" s="17"/>
      <c r="BS369" s="17"/>
      <c r="BT369" s="17"/>
      <c r="BU369" s="17"/>
      <c r="BV369" s="17"/>
      <c r="BW369" s="17"/>
      <c r="BX369" s="17"/>
      <c r="BY369" s="17"/>
      <c r="BZ369" s="17"/>
      <c r="CA369" s="17"/>
      <c r="CB369" s="17"/>
      <c r="CC369" s="17"/>
      <c r="CD369" s="17"/>
      <c r="CE369" s="17"/>
      <c r="CF369" s="17"/>
      <c r="CG369" s="17"/>
      <c r="CH369" s="17"/>
      <c r="CI369" s="17"/>
      <c r="CJ369" s="17"/>
      <c r="CK369" s="17"/>
      <c r="CL369" s="17"/>
      <c r="CM369" s="17"/>
      <c r="CN369" s="17"/>
      <c r="CO369" s="17"/>
      <c r="CP369" s="17"/>
      <c r="CQ369" s="17"/>
      <c r="CR369" s="17"/>
      <c r="CS369" s="17"/>
      <c r="CT369" s="17"/>
      <c r="CU369" s="17"/>
      <c r="CV369" s="17"/>
      <c r="CW369" s="17"/>
      <c r="CX369" s="17"/>
      <c r="CY369" s="17"/>
      <c r="CZ369" s="17"/>
      <c r="DA369" s="17"/>
      <c r="DB369" s="17"/>
      <c r="DC369" s="17"/>
      <c r="DD369" s="17"/>
      <c r="DE369" s="17"/>
      <c r="DF369" s="17"/>
      <c r="DG369" s="17"/>
      <c r="DH369" s="17"/>
      <c r="DI369" s="17"/>
      <c r="DJ369" s="17"/>
      <c r="DK369" s="17"/>
      <c r="DL369" s="17"/>
      <c r="DM369" s="17"/>
      <c r="DN369" s="17"/>
      <c r="DO369" s="17"/>
      <c r="DP369" s="17"/>
      <c r="DQ369" s="17"/>
      <c r="DR369" s="17"/>
      <c r="DS369" s="17"/>
      <c r="DT369" s="17"/>
      <c r="DU369" s="17"/>
      <c r="DV369" s="17"/>
      <c r="DW369" s="17"/>
      <c r="DX369" s="17"/>
      <c r="DY369" s="17"/>
      <c r="DZ369" s="17"/>
      <c r="EA369" s="17"/>
      <c r="EB369" s="17"/>
      <c r="EC369" s="17"/>
    </row>
    <row r="370" spans="1:133" x14ac:dyDescent="0.25">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7"/>
      <c r="BD370" s="17"/>
      <c r="BE370" s="17"/>
      <c r="BF370" s="17"/>
      <c r="BG370" s="17"/>
      <c r="BH370" s="17"/>
      <c r="BI370" s="17"/>
      <c r="BJ370" s="17"/>
      <c r="BK370" s="17"/>
      <c r="BL370" s="17"/>
      <c r="BM370" s="17"/>
      <c r="BN370" s="17"/>
      <c r="BO370" s="17"/>
      <c r="BP370" s="17"/>
      <c r="BQ370" s="17"/>
      <c r="BR370" s="17"/>
      <c r="BS370" s="17"/>
      <c r="BT370" s="17"/>
      <c r="BU370" s="17"/>
      <c r="BV370" s="17"/>
      <c r="BW370" s="17"/>
      <c r="BX370" s="17"/>
      <c r="BY370" s="17"/>
      <c r="BZ370" s="17"/>
      <c r="CA370" s="17"/>
      <c r="CB370" s="17"/>
      <c r="CC370" s="17"/>
      <c r="CD370" s="17"/>
      <c r="CE370" s="17"/>
      <c r="CF370" s="17"/>
      <c r="CG370" s="17"/>
      <c r="CH370" s="17"/>
      <c r="CI370" s="17"/>
      <c r="CJ370" s="17"/>
      <c r="CK370" s="17"/>
      <c r="CL370" s="17"/>
      <c r="CM370" s="17"/>
      <c r="CN370" s="17"/>
      <c r="CO370" s="17"/>
      <c r="CP370" s="17"/>
      <c r="CQ370" s="17"/>
      <c r="CR370" s="17"/>
      <c r="CS370" s="17"/>
      <c r="CT370" s="17"/>
      <c r="CU370" s="17"/>
      <c r="CV370" s="17"/>
      <c r="CW370" s="17"/>
      <c r="CX370" s="17"/>
      <c r="CY370" s="17"/>
      <c r="CZ370" s="17"/>
      <c r="DA370" s="17"/>
      <c r="DB370" s="17"/>
      <c r="DC370" s="17"/>
      <c r="DD370" s="17"/>
      <c r="DE370" s="17"/>
      <c r="DF370" s="17"/>
      <c r="DG370" s="17"/>
      <c r="DH370" s="17"/>
      <c r="DI370" s="17"/>
      <c r="DJ370" s="17"/>
      <c r="DK370" s="17"/>
      <c r="DL370" s="17"/>
      <c r="DM370" s="17"/>
      <c r="DN370" s="17"/>
      <c r="DO370" s="17"/>
      <c r="DP370" s="17"/>
      <c r="DQ370" s="17"/>
      <c r="DR370" s="17"/>
      <c r="DS370" s="17"/>
      <c r="DT370" s="17"/>
      <c r="DU370" s="17"/>
      <c r="DV370" s="17"/>
      <c r="DW370" s="17"/>
      <c r="DX370" s="17"/>
      <c r="DY370" s="17"/>
      <c r="DZ370" s="17"/>
      <c r="EA370" s="17"/>
      <c r="EB370" s="17"/>
      <c r="EC370" s="17"/>
    </row>
    <row r="371" spans="1:133" x14ac:dyDescent="0.25">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c r="BD371" s="17"/>
      <c r="BE371" s="17"/>
      <c r="BF371" s="17"/>
      <c r="BG371" s="17"/>
      <c r="BH371" s="17"/>
      <c r="BI371" s="17"/>
      <c r="BJ371" s="17"/>
      <c r="BK371" s="17"/>
      <c r="BL371" s="17"/>
      <c r="BM371" s="17"/>
      <c r="BN371" s="17"/>
      <c r="BO371" s="17"/>
      <c r="BP371" s="17"/>
      <c r="BQ371" s="17"/>
      <c r="BR371" s="17"/>
      <c r="BS371" s="17"/>
      <c r="BT371" s="17"/>
      <c r="BU371" s="17"/>
      <c r="BV371" s="17"/>
      <c r="BW371" s="17"/>
      <c r="BX371" s="17"/>
      <c r="BY371" s="17"/>
      <c r="BZ371" s="17"/>
      <c r="CA371" s="17"/>
      <c r="CB371" s="17"/>
      <c r="CC371" s="17"/>
      <c r="CD371" s="17"/>
      <c r="CE371" s="17"/>
      <c r="CF371" s="17"/>
      <c r="CG371" s="17"/>
      <c r="CH371" s="17"/>
      <c r="CI371" s="17"/>
      <c r="CJ371" s="17"/>
      <c r="CK371" s="17"/>
      <c r="CL371" s="17"/>
      <c r="CM371" s="17"/>
      <c r="CN371" s="17"/>
      <c r="CO371" s="17"/>
      <c r="CP371" s="17"/>
      <c r="CQ371" s="17"/>
      <c r="CR371" s="17"/>
      <c r="CS371" s="17"/>
      <c r="CT371" s="17"/>
      <c r="CU371" s="17"/>
      <c r="CV371" s="17"/>
      <c r="CW371" s="17"/>
      <c r="CX371" s="17"/>
      <c r="CY371" s="17"/>
      <c r="CZ371" s="17"/>
      <c r="DA371" s="17"/>
      <c r="DB371" s="17"/>
      <c r="DC371" s="17"/>
      <c r="DD371" s="17"/>
      <c r="DE371" s="17"/>
      <c r="DF371" s="17"/>
      <c r="DG371" s="17"/>
      <c r="DH371" s="17"/>
      <c r="DI371" s="17"/>
      <c r="DJ371" s="17"/>
      <c r="DK371" s="17"/>
      <c r="DL371" s="17"/>
      <c r="DM371" s="17"/>
      <c r="DN371" s="17"/>
      <c r="DO371" s="17"/>
      <c r="DP371" s="17"/>
      <c r="DQ371" s="17"/>
      <c r="DR371" s="17"/>
      <c r="DS371" s="17"/>
      <c r="DT371" s="17"/>
      <c r="DU371" s="17"/>
      <c r="DV371" s="17"/>
      <c r="DW371" s="17"/>
      <c r="DX371" s="17"/>
      <c r="DY371" s="17"/>
      <c r="DZ371" s="17"/>
      <c r="EA371" s="17"/>
      <c r="EB371" s="17"/>
      <c r="EC371" s="17"/>
    </row>
    <row r="372" spans="1:133" x14ac:dyDescent="0.25">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c r="BD372" s="17"/>
      <c r="BE372" s="17"/>
      <c r="BF372" s="17"/>
      <c r="BG372" s="17"/>
      <c r="BH372" s="17"/>
      <c r="BI372" s="17"/>
      <c r="BJ372" s="17"/>
      <c r="BK372" s="17"/>
      <c r="BL372" s="17"/>
      <c r="BM372" s="17"/>
      <c r="BN372" s="17"/>
      <c r="BO372" s="17"/>
      <c r="BP372" s="17"/>
      <c r="BQ372" s="17"/>
      <c r="BR372" s="17"/>
      <c r="BS372" s="17"/>
      <c r="BT372" s="17"/>
      <c r="BU372" s="17"/>
      <c r="BV372" s="17"/>
      <c r="BW372" s="17"/>
      <c r="BX372" s="17"/>
      <c r="BY372" s="17"/>
      <c r="BZ372" s="17"/>
      <c r="CA372" s="17"/>
      <c r="CB372" s="17"/>
      <c r="CC372" s="17"/>
      <c r="CD372" s="17"/>
      <c r="CE372" s="17"/>
      <c r="CF372" s="17"/>
      <c r="CG372" s="17"/>
      <c r="CH372" s="17"/>
      <c r="CI372" s="17"/>
      <c r="CJ372" s="17"/>
      <c r="CK372" s="17"/>
      <c r="CL372" s="17"/>
      <c r="CM372" s="17"/>
      <c r="CN372" s="17"/>
      <c r="CO372" s="17"/>
      <c r="CP372" s="17"/>
      <c r="CQ372" s="17"/>
      <c r="CR372" s="17"/>
      <c r="CS372" s="17"/>
      <c r="CT372" s="17"/>
      <c r="CU372" s="17"/>
      <c r="CV372" s="17"/>
      <c r="CW372" s="17"/>
      <c r="CX372" s="17"/>
      <c r="CY372" s="17"/>
      <c r="CZ372" s="17"/>
      <c r="DA372" s="17"/>
      <c r="DB372" s="17"/>
      <c r="DC372" s="17"/>
      <c r="DD372" s="17"/>
      <c r="DE372" s="17"/>
      <c r="DF372" s="17"/>
      <c r="DG372" s="17"/>
      <c r="DH372" s="17"/>
      <c r="DI372" s="17"/>
      <c r="DJ372" s="17"/>
      <c r="DK372" s="17"/>
      <c r="DL372" s="17"/>
      <c r="DM372" s="17"/>
      <c r="DN372" s="17"/>
      <c r="DO372" s="17"/>
      <c r="DP372" s="17"/>
      <c r="DQ372" s="17"/>
      <c r="DR372" s="17"/>
      <c r="DS372" s="17"/>
      <c r="DT372" s="17"/>
      <c r="DU372" s="17"/>
      <c r="DV372" s="17"/>
      <c r="DW372" s="17"/>
      <c r="DX372" s="17"/>
      <c r="DY372" s="17"/>
      <c r="DZ372" s="17"/>
      <c r="EA372" s="17"/>
      <c r="EB372" s="17"/>
      <c r="EC372" s="17"/>
    </row>
    <row r="373" spans="1:133" x14ac:dyDescent="0.25">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c r="BD373" s="17"/>
      <c r="BE373" s="17"/>
      <c r="BF373" s="17"/>
      <c r="BG373" s="17"/>
      <c r="BH373" s="17"/>
      <c r="BI373" s="17"/>
      <c r="BJ373" s="17"/>
      <c r="BK373" s="17"/>
      <c r="BL373" s="17"/>
      <c r="BM373" s="17"/>
      <c r="BN373" s="17"/>
      <c r="BO373" s="17"/>
      <c r="BP373" s="17"/>
      <c r="BQ373" s="17"/>
      <c r="BR373" s="17"/>
      <c r="BS373" s="17"/>
      <c r="BT373" s="17"/>
      <c r="BU373" s="17"/>
      <c r="BV373" s="17"/>
      <c r="BW373" s="17"/>
      <c r="BX373" s="17"/>
      <c r="BY373" s="17"/>
      <c r="BZ373" s="17"/>
      <c r="CA373" s="17"/>
      <c r="CB373" s="17"/>
      <c r="CC373" s="17"/>
      <c r="CD373" s="17"/>
      <c r="CE373" s="17"/>
      <c r="CF373" s="17"/>
      <c r="CG373" s="17"/>
      <c r="CH373" s="17"/>
      <c r="CI373" s="17"/>
      <c r="CJ373" s="17"/>
      <c r="CK373" s="17"/>
      <c r="CL373" s="17"/>
      <c r="CM373" s="17"/>
      <c r="CN373" s="17"/>
      <c r="CO373" s="17"/>
      <c r="CP373" s="17"/>
      <c r="CQ373" s="17"/>
      <c r="CR373" s="17"/>
      <c r="CS373" s="17"/>
      <c r="CT373" s="17"/>
      <c r="CU373" s="17"/>
      <c r="CV373" s="17"/>
      <c r="CW373" s="17"/>
      <c r="CX373" s="17"/>
      <c r="CY373" s="17"/>
      <c r="CZ373" s="17"/>
      <c r="DA373" s="17"/>
      <c r="DB373" s="17"/>
      <c r="DC373" s="17"/>
      <c r="DD373" s="17"/>
      <c r="DE373" s="17"/>
      <c r="DF373" s="17"/>
      <c r="DG373" s="17"/>
      <c r="DH373" s="17"/>
      <c r="DI373" s="17"/>
      <c r="DJ373" s="17"/>
      <c r="DK373" s="17"/>
      <c r="DL373" s="17"/>
      <c r="DM373" s="17"/>
      <c r="DN373" s="17"/>
      <c r="DO373" s="17"/>
      <c r="DP373" s="17"/>
      <c r="DQ373" s="17"/>
      <c r="DR373" s="17"/>
      <c r="DS373" s="17"/>
      <c r="DT373" s="17"/>
      <c r="DU373" s="17"/>
      <c r="DV373" s="17"/>
      <c r="DW373" s="17"/>
      <c r="DX373" s="17"/>
      <c r="DY373" s="17"/>
      <c r="DZ373" s="17"/>
      <c r="EA373" s="17"/>
      <c r="EB373" s="17"/>
      <c r="EC373" s="17"/>
    </row>
    <row r="374" spans="1:133" x14ac:dyDescent="0.25">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c r="BD374" s="17"/>
      <c r="BE374" s="17"/>
      <c r="BF374" s="17"/>
      <c r="BG374" s="17"/>
      <c r="BH374" s="17"/>
      <c r="BI374" s="17"/>
      <c r="BJ374" s="17"/>
      <c r="BK374" s="17"/>
      <c r="BL374" s="17"/>
      <c r="BM374" s="17"/>
      <c r="BN374" s="17"/>
      <c r="BO374" s="17"/>
      <c r="BP374" s="17"/>
      <c r="BQ374" s="17"/>
      <c r="BR374" s="17"/>
      <c r="BS374" s="17"/>
      <c r="BT374" s="17"/>
      <c r="BU374" s="17"/>
      <c r="BV374" s="17"/>
      <c r="BW374" s="17"/>
      <c r="BX374" s="17"/>
      <c r="BY374" s="17"/>
      <c r="BZ374" s="17"/>
      <c r="CA374" s="17"/>
      <c r="CB374" s="17"/>
      <c r="CC374" s="17"/>
      <c r="CD374" s="17"/>
      <c r="CE374" s="17"/>
      <c r="CF374" s="17"/>
      <c r="CG374" s="17"/>
      <c r="CH374" s="17"/>
      <c r="CI374" s="17"/>
      <c r="CJ374" s="17"/>
      <c r="CK374" s="17"/>
      <c r="CL374" s="17"/>
      <c r="CM374" s="17"/>
      <c r="CN374" s="17"/>
      <c r="CO374" s="17"/>
      <c r="CP374" s="17"/>
      <c r="CQ374" s="17"/>
      <c r="CR374" s="17"/>
      <c r="CS374" s="17"/>
      <c r="CT374" s="17"/>
      <c r="CU374" s="17"/>
      <c r="CV374" s="17"/>
      <c r="CW374" s="17"/>
      <c r="CX374" s="17"/>
      <c r="CY374" s="17"/>
      <c r="CZ374" s="17"/>
      <c r="DA374" s="17"/>
      <c r="DB374" s="17"/>
      <c r="DC374" s="17"/>
      <c r="DD374" s="17"/>
      <c r="DE374" s="17"/>
      <c r="DF374" s="17"/>
      <c r="DG374" s="17"/>
      <c r="DH374" s="17"/>
      <c r="DI374" s="17"/>
      <c r="DJ374" s="17"/>
      <c r="DK374" s="17"/>
      <c r="DL374" s="17"/>
      <c r="DM374" s="17"/>
      <c r="DN374" s="17"/>
      <c r="DO374" s="17"/>
      <c r="DP374" s="17"/>
      <c r="DQ374" s="17"/>
      <c r="DR374" s="17"/>
      <c r="DS374" s="17"/>
      <c r="DT374" s="17"/>
      <c r="DU374" s="17"/>
      <c r="DV374" s="17"/>
      <c r="DW374" s="17"/>
      <c r="DX374" s="17"/>
      <c r="DY374" s="17"/>
      <c r="DZ374" s="17"/>
      <c r="EA374" s="17"/>
      <c r="EB374" s="17"/>
      <c r="EC374" s="17"/>
    </row>
    <row r="375" spans="1:133" x14ac:dyDescent="0.2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c r="BD375" s="17"/>
      <c r="BE375" s="17"/>
      <c r="BF375" s="17"/>
      <c r="BG375" s="17"/>
      <c r="BH375" s="17"/>
      <c r="BI375" s="17"/>
      <c r="BJ375" s="17"/>
      <c r="BK375" s="17"/>
      <c r="BL375" s="17"/>
      <c r="BM375" s="17"/>
      <c r="BN375" s="17"/>
      <c r="BO375" s="17"/>
      <c r="BP375" s="17"/>
      <c r="BQ375" s="17"/>
      <c r="BR375" s="17"/>
      <c r="BS375" s="17"/>
      <c r="BT375" s="17"/>
      <c r="BU375" s="17"/>
      <c r="BV375" s="17"/>
      <c r="BW375" s="17"/>
      <c r="BX375" s="17"/>
      <c r="BY375" s="17"/>
      <c r="BZ375" s="17"/>
      <c r="CA375" s="17"/>
      <c r="CB375" s="17"/>
      <c r="CC375" s="17"/>
      <c r="CD375" s="17"/>
      <c r="CE375" s="17"/>
      <c r="CF375" s="17"/>
      <c r="CG375" s="17"/>
      <c r="CH375" s="17"/>
      <c r="CI375" s="17"/>
      <c r="CJ375" s="17"/>
      <c r="CK375" s="17"/>
      <c r="CL375" s="17"/>
      <c r="CM375" s="17"/>
      <c r="CN375" s="17"/>
      <c r="CO375" s="17"/>
      <c r="CP375" s="17"/>
      <c r="CQ375" s="17"/>
      <c r="CR375" s="17"/>
      <c r="CS375" s="17"/>
      <c r="CT375" s="17"/>
      <c r="CU375" s="17"/>
      <c r="CV375" s="17"/>
      <c r="CW375" s="17"/>
      <c r="CX375" s="17"/>
      <c r="CY375" s="17"/>
      <c r="CZ375" s="17"/>
      <c r="DA375" s="17"/>
      <c r="DB375" s="17"/>
      <c r="DC375" s="17"/>
      <c r="DD375" s="17"/>
      <c r="DE375" s="17"/>
      <c r="DF375" s="17"/>
      <c r="DG375" s="17"/>
      <c r="DH375" s="17"/>
      <c r="DI375" s="17"/>
      <c r="DJ375" s="17"/>
      <c r="DK375" s="17"/>
      <c r="DL375" s="17"/>
      <c r="DM375" s="17"/>
      <c r="DN375" s="17"/>
      <c r="DO375" s="17"/>
      <c r="DP375" s="17"/>
      <c r="DQ375" s="17"/>
      <c r="DR375" s="17"/>
      <c r="DS375" s="17"/>
      <c r="DT375" s="17"/>
      <c r="DU375" s="17"/>
      <c r="DV375" s="17"/>
      <c r="DW375" s="17"/>
      <c r="DX375" s="17"/>
      <c r="DY375" s="17"/>
      <c r="DZ375" s="17"/>
      <c r="EA375" s="17"/>
      <c r="EB375" s="17"/>
      <c r="EC375" s="17"/>
    </row>
    <row r="376" spans="1:133" x14ac:dyDescent="0.25">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c r="BD376" s="17"/>
      <c r="BE376" s="17"/>
      <c r="BF376" s="17"/>
      <c r="BG376" s="17"/>
      <c r="BH376" s="17"/>
      <c r="BI376" s="17"/>
      <c r="BJ376" s="17"/>
      <c r="BK376" s="17"/>
      <c r="BL376" s="17"/>
      <c r="BM376" s="17"/>
      <c r="BN376" s="17"/>
      <c r="BO376" s="17"/>
      <c r="BP376" s="17"/>
      <c r="BQ376" s="17"/>
      <c r="BR376" s="17"/>
      <c r="BS376" s="17"/>
      <c r="BT376" s="17"/>
      <c r="BU376" s="17"/>
      <c r="BV376" s="17"/>
      <c r="BW376" s="17"/>
      <c r="BX376" s="17"/>
      <c r="BY376" s="17"/>
      <c r="BZ376" s="17"/>
      <c r="CA376" s="17"/>
      <c r="CB376" s="17"/>
      <c r="CC376" s="17"/>
      <c r="CD376" s="17"/>
      <c r="CE376" s="17"/>
      <c r="CF376" s="17"/>
      <c r="CG376" s="17"/>
      <c r="CH376" s="17"/>
      <c r="CI376" s="17"/>
      <c r="CJ376" s="17"/>
      <c r="CK376" s="17"/>
      <c r="CL376" s="17"/>
      <c r="CM376" s="17"/>
      <c r="CN376" s="17"/>
      <c r="CO376" s="17"/>
      <c r="CP376" s="17"/>
      <c r="CQ376" s="17"/>
      <c r="CR376" s="17"/>
      <c r="CS376" s="17"/>
      <c r="CT376" s="17"/>
      <c r="CU376" s="17"/>
      <c r="CV376" s="17"/>
      <c r="CW376" s="17"/>
      <c r="CX376" s="17"/>
      <c r="CY376" s="17"/>
      <c r="CZ376" s="17"/>
      <c r="DA376" s="17"/>
      <c r="DB376" s="17"/>
      <c r="DC376" s="17"/>
      <c r="DD376" s="17"/>
      <c r="DE376" s="17"/>
      <c r="DF376" s="17"/>
      <c r="DG376" s="17"/>
      <c r="DH376" s="17"/>
      <c r="DI376" s="17"/>
      <c r="DJ376" s="17"/>
      <c r="DK376" s="17"/>
      <c r="DL376" s="17"/>
      <c r="DM376" s="17"/>
      <c r="DN376" s="17"/>
      <c r="DO376" s="17"/>
      <c r="DP376" s="17"/>
      <c r="DQ376" s="17"/>
      <c r="DR376" s="17"/>
      <c r="DS376" s="17"/>
      <c r="DT376" s="17"/>
      <c r="DU376" s="17"/>
      <c r="DV376" s="17"/>
      <c r="DW376" s="17"/>
      <c r="DX376" s="17"/>
      <c r="DY376" s="17"/>
      <c r="DZ376" s="17"/>
      <c r="EA376" s="17"/>
      <c r="EB376" s="17"/>
      <c r="EC376" s="17"/>
    </row>
    <row r="377" spans="1:133" x14ac:dyDescent="0.25">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c r="BD377" s="17"/>
      <c r="BE377" s="17"/>
      <c r="BF377" s="17"/>
      <c r="BG377" s="17"/>
      <c r="BH377" s="17"/>
      <c r="BI377" s="17"/>
      <c r="BJ377" s="17"/>
      <c r="BK377" s="17"/>
      <c r="BL377" s="17"/>
      <c r="BM377" s="17"/>
      <c r="BN377" s="17"/>
      <c r="BO377" s="17"/>
      <c r="BP377" s="17"/>
      <c r="BQ377" s="17"/>
      <c r="BR377" s="17"/>
      <c r="BS377" s="17"/>
      <c r="BT377" s="17"/>
      <c r="BU377" s="17"/>
      <c r="BV377" s="17"/>
      <c r="BW377" s="17"/>
      <c r="BX377" s="17"/>
      <c r="BY377" s="17"/>
      <c r="BZ377" s="17"/>
      <c r="CA377" s="17"/>
      <c r="CB377" s="17"/>
      <c r="CC377" s="17"/>
      <c r="CD377" s="17"/>
      <c r="CE377" s="17"/>
      <c r="CF377" s="17"/>
      <c r="CG377" s="17"/>
      <c r="CH377" s="17"/>
      <c r="CI377" s="17"/>
      <c r="CJ377" s="17"/>
      <c r="CK377" s="17"/>
      <c r="CL377" s="17"/>
      <c r="CM377" s="17"/>
      <c r="CN377" s="17"/>
      <c r="CO377" s="17"/>
      <c r="CP377" s="17"/>
      <c r="CQ377" s="17"/>
      <c r="CR377" s="17"/>
      <c r="CS377" s="17"/>
      <c r="CT377" s="17"/>
      <c r="CU377" s="17"/>
      <c r="CV377" s="17"/>
      <c r="CW377" s="17"/>
      <c r="CX377" s="17"/>
      <c r="CY377" s="17"/>
      <c r="CZ377" s="17"/>
      <c r="DA377" s="17"/>
      <c r="DB377" s="17"/>
      <c r="DC377" s="17"/>
      <c r="DD377" s="17"/>
      <c r="DE377" s="17"/>
      <c r="DF377" s="17"/>
      <c r="DG377" s="17"/>
      <c r="DH377" s="17"/>
      <c r="DI377" s="17"/>
      <c r="DJ377" s="17"/>
      <c r="DK377" s="17"/>
      <c r="DL377" s="17"/>
      <c r="DM377" s="17"/>
      <c r="DN377" s="17"/>
      <c r="DO377" s="17"/>
      <c r="DP377" s="17"/>
      <c r="DQ377" s="17"/>
      <c r="DR377" s="17"/>
      <c r="DS377" s="17"/>
      <c r="DT377" s="17"/>
      <c r="DU377" s="17"/>
      <c r="DV377" s="17"/>
      <c r="DW377" s="17"/>
      <c r="DX377" s="17"/>
      <c r="DY377" s="17"/>
      <c r="DZ377" s="17"/>
      <c r="EA377" s="17"/>
      <c r="EB377" s="17"/>
      <c r="EC377" s="17"/>
    </row>
    <row r="378" spans="1:133" x14ac:dyDescent="0.25">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c r="BD378" s="17"/>
      <c r="BE378" s="17"/>
      <c r="BF378" s="17"/>
      <c r="BG378" s="17"/>
      <c r="BH378" s="17"/>
      <c r="BI378" s="17"/>
      <c r="BJ378" s="17"/>
      <c r="BK378" s="17"/>
      <c r="BL378" s="17"/>
      <c r="BM378" s="17"/>
      <c r="BN378" s="17"/>
      <c r="BO378" s="17"/>
      <c r="BP378" s="17"/>
      <c r="BQ378" s="17"/>
      <c r="BR378" s="17"/>
      <c r="BS378" s="17"/>
      <c r="BT378" s="17"/>
      <c r="BU378" s="17"/>
      <c r="BV378" s="17"/>
      <c r="BW378" s="17"/>
      <c r="BX378" s="17"/>
      <c r="BY378" s="17"/>
      <c r="BZ378" s="17"/>
      <c r="CA378" s="17"/>
      <c r="CB378" s="17"/>
      <c r="CC378" s="17"/>
      <c r="CD378" s="17"/>
      <c r="CE378" s="17"/>
      <c r="CF378" s="17"/>
      <c r="CG378" s="17"/>
      <c r="CH378" s="17"/>
      <c r="CI378" s="17"/>
      <c r="CJ378" s="17"/>
      <c r="CK378" s="17"/>
      <c r="CL378" s="17"/>
      <c r="CM378" s="17"/>
      <c r="CN378" s="17"/>
      <c r="CO378" s="17"/>
      <c r="CP378" s="17"/>
      <c r="CQ378" s="17"/>
      <c r="CR378" s="17"/>
      <c r="CS378" s="17"/>
      <c r="CT378" s="17"/>
      <c r="CU378" s="17"/>
      <c r="CV378" s="17"/>
      <c r="CW378" s="17"/>
      <c r="CX378" s="17"/>
      <c r="CY378" s="17"/>
      <c r="CZ378" s="17"/>
      <c r="DA378" s="17"/>
      <c r="DB378" s="17"/>
      <c r="DC378" s="17"/>
      <c r="DD378" s="17"/>
      <c r="DE378" s="17"/>
      <c r="DF378" s="17"/>
      <c r="DG378" s="17"/>
      <c r="DH378" s="17"/>
      <c r="DI378" s="17"/>
      <c r="DJ378" s="17"/>
      <c r="DK378" s="17"/>
      <c r="DL378" s="17"/>
      <c r="DM378" s="17"/>
      <c r="DN378" s="17"/>
      <c r="DO378" s="17"/>
      <c r="DP378" s="17"/>
      <c r="DQ378" s="17"/>
      <c r="DR378" s="17"/>
      <c r="DS378" s="17"/>
      <c r="DT378" s="17"/>
      <c r="DU378" s="17"/>
      <c r="DV378" s="17"/>
      <c r="DW378" s="17"/>
      <c r="DX378" s="17"/>
      <c r="DY378" s="17"/>
      <c r="DZ378" s="17"/>
      <c r="EA378" s="17"/>
      <c r="EB378" s="17"/>
      <c r="EC378" s="17"/>
    </row>
    <row r="379" spans="1:133" x14ac:dyDescent="0.25">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c r="BD379" s="17"/>
      <c r="BE379" s="17"/>
      <c r="BF379" s="17"/>
      <c r="BG379" s="17"/>
      <c r="BH379" s="17"/>
      <c r="BI379" s="17"/>
      <c r="BJ379" s="17"/>
      <c r="BK379" s="17"/>
      <c r="BL379" s="17"/>
      <c r="BM379" s="17"/>
      <c r="BN379" s="17"/>
      <c r="BO379" s="17"/>
      <c r="BP379" s="17"/>
      <c r="BQ379" s="17"/>
      <c r="BR379" s="17"/>
      <c r="BS379" s="17"/>
      <c r="BT379" s="17"/>
      <c r="BU379" s="17"/>
      <c r="BV379" s="17"/>
      <c r="BW379" s="17"/>
      <c r="BX379" s="17"/>
      <c r="BY379" s="17"/>
      <c r="BZ379" s="17"/>
      <c r="CA379" s="17"/>
      <c r="CB379" s="17"/>
      <c r="CC379" s="17"/>
      <c r="CD379" s="17"/>
      <c r="CE379" s="17"/>
      <c r="CF379" s="17"/>
      <c r="CG379" s="17"/>
      <c r="CH379" s="17"/>
      <c r="CI379" s="17"/>
      <c r="CJ379" s="17"/>
      <c r="CK379" s="17"/>
      <c r="CL379" s="17"/>
      <c r="CM379" s="17"/>
      <c r="CN379" s="17"/>
      <c r="CO379" s="17"/>
      <c r="CP379" s="17"/>
      <c r="CQ379" s="17"/>
      <c r="CR379" s="17"/>
      <c r="CS379" s="17"/>
      <c r="CT379" s="17"/>
      <c r="CU379" s="17"/>
      <c r="CV379" s="17"/>
      <c r="CW379" s="17"/>
      <c r="CX379" s="17"/>
      <c r="CY379" s="17"/>
      <c r="CZ379" s="17"/>
      <c r="DA379" s="17"/>
      <c r="DB379" s="17"/>
      <c r="DC379" s="17"/>
      <c r="DD379" s="17"/>
      <c r="DE379" s="17"/>
      <c r="DF379" s="17"/>
      <c r="DG379" s="17"/>
      <c r="DH379" s="17"/>
      <c r="DI379" s="17"/>
      <c r="DJ379" s="17"/>
      <c r="DK379" s="17"/>
      <c r="DL379" s="17"/>
      <c r="DM379" s="17"/>
      <c r="DN379" s="17"/>
      <c r="DO379" s="17"/>
      <c r="DP379" s="17"/>
      <c r="DQ379" s="17"/>
      <c r="DR379" s="17"/>
      <c r="DS379" s="17"/>
      <c r="DT379" s="17"/>
      <c r="DU379" s="17"/>
      <c r="DV379" s="17"/>
      <c r="DW379" s="17"/>
      <c r="DX379" s="17"/>
      <c r="DY379" s="17"/>
      <c r="DZ379" s="17"/>
      <c r="EA379" s="17"/>
      <c r="EB379" s="17"/>
      <c r="EC379" s="17"/>
    </row>
    <row r="380" spans="1:133" x14ac:dyDescent="0.25">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c r="BD380" s="17"/>
      <c r="BE380" s="17"/>
      <c r="BF380" s="17"/>
      <c r="BG380" s="17"/>
      <c r="BH380" s="17"/>
      <c r="BI380" s="17"/>
      <c r="BJ380" s="17"/>
      <c r="BK380" s="17"/>
      <c r="BL380" s="17"/>
      <c r="BM380" s="17"/>
      <c r="BN380" s="17"/>
      <c r="BO380" s="17"/>
      <c r="BP380" s="17"/>
      <c r="BQ380" s="17"/>
      <c r="BR380" s="17"/>
      <c r="BS380" s="17"/>
      <c r="BT380" s="17"/>
      <c r="BU380" s="17"/>
      <c r="BV380" s="17"/>
      <c r="BW380" s="17"/>
      <c r="BX380" s="17"/>
      <c r="BY380" s="17"/>
      <c r="BZ380" s="17"/>
      <c r="CA380" s="17"/>
      <c r="CB380" s="17"/>
      <c r="CC380" s="17"/>
      <c r="CD380" s="17"/>
      <c r="CE380" s="17"/>
      <c r="CF380" s="17"/>
      <c r="CG380" s="17"/>
      <c r="CH380" s="17"/>
      <c r="CI380" s="17"/>
      <c r="CJ380" s="17"/>
      <c r="CK380" s="17"/>
      <c r="CL380" s="17"/>
      <c r="CM380" s="17"/>
      <c r="CN380" s="17"/>
      <c r="CO380" s="17"/>
      <c r="CP380" s="17"/>
      <c r="CQ380" s="17"/>
      <c r="CR380" s="17"/>
      <c r="CS380" s="17"/>
      <c r="CT380" s="17"/>
      <c r="CU380" s="17"/>
      <c r="CV380" s="17"/>
      <c r="CW380" s="17"/>
      <c r="CX380" s="17"/>
      <c r="CY380" s="17"/>
      <c r="CZ380" s="17"/>
      <c r="DA380" s="17"/>
      <c r="DB380" s="17"/>
      <c r="DC380" s="17"/>
      <c r="DD380" s="17"/>
      <c r="DE380" s="17"/>
      <c r="DF380" s="17"/>
      <c r="DG380" s="17"/>
      <c r="DH380" s="17"/>
      <c r="DI380" s="17"/>
      <c r="DJ380" s="17"/>
      <c r="DK380" s="17"/>
      <c r="DL380" s="17"/>
      <c r="DM380" s="17"/>
      <c r="DN380" s="17"/>
      <c r="DO380" s="17"/>
      <c r="DP380" s="17"/>
      <c r="DQ380" s="17"/>
      <c r="DR380" s="17"/>
      <c r="DS380" s="17"/>
      <c r="DT380" s="17"/>
      <c r="DU380" s="17"/>
      <c r="DV380" s="17"/>
      <c r="DW380" s="17"/>
      <c r="DX380" s="17"/>
      <c r="DY380" s="17"/>
      <c r="DZ380" s="17"/>
      <c r="EA380" s="17"/>
      <c r="EB380" s="17"/>
      <c r="EC380" s="17"/>
    </row>
    <row r="381" spans="1:133" x14ac:dyDescent="0.25">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c r="BD381" s="17"/>
      <c r="BE381" s="17"/>
      <c r="BF381" s="17"/>
      <c r="BG381" s="17"/>
      <c r="BH381" s="17"/>
      <c r="BI381" s="17"/>
      <c r="BJ381" s="17"/>
      <c r="BK381" s="17"/>
      <c r="BL381" s="17"/>
      <c r="BM381" s="17"/>
      <c r="BN381" s="17"/>
      <c r="BO381" s="17"/>
      <c r="BP381" s="17"/>
      <c r="BQ381" s="17"/>
      <c r="BR381" s="17"/>
      <c r="BS381" s="17"/>
      <c r="BT381" s="17"/>
      <c r="BU381" s="17"/>
      <c r="BV381" s="17"/>
      <c r="BW381" s="17"/>
      <c r="BX381" s="17"/>
      <c r="BY381" s="17"/>
      <c r="BZ381" s="17"/>
      <c r="CA381" s="17"/>
      <c r="CB381" s="17"/>
      <c r="CC381" s="17"/>
      <c r="CD381" s="17"/>
      <c r="CE381" s="17"/>
      <c r="CF381" s="17"/>
      <c r="CG381" s="17"/>
      <c r="CH381" s="17"/>
      <c r="CI381" s="17"/>
      <c r="CJ381" s="17"/>
      <c r="CK381" s="17"/>
      <c r="CL381" s="17"/>
      <c r="CM381" s="17"/>
      <c r="CN381" s="17"/>
      <c r="CO381" s="17"/>
      <c r="CP381" s="17"/>
      <c r="CQ381" s="17"/>
      <c r="CR381" s="17"/>
      <c r="CS381" s="17"/>
      <c r="CT381" s="17"/>
      <c r="CU381" s="17"/>
      <c r="CV381" s="17"/>
      <c r="CW381" s="17"/>
      <c r="CX381" s="17"/>
      <c r="CY381" s="17"/>
      <c r="CZ381" s="17"/>
      <c r="DA381" s="17"/>
      <c r="DB381" s="17"/>
      <c r="DC381" s="17"/>
      <c r="DD381" s="17"/>
      <c r="DE381" s="17"/>
      <c r="DF381" s="17"/>
      <c r="DG381" s="17"/>
      <c r="DH381" s="17"/>
      <c r="DI381" s="17"/>
      <c r="DJ381" s="17"/>
      <c r="DK381" s="17"/>
      <c r="DL381" s="17"/>
      <c r="DM381" s="17"/>
      <c r="DN381" s="17"/>
      <c r="DO381" s="17"/>
      <c r="DP381" s="17"/>
      <c r="DQ381" s="17"/>
      <c r="DR381" s="17"/>
      <c r="DS381" s="17"/>
      <c r="DT381" s="17"/>
      <c r="DU381" s="17"/>
      <c r="DV381" s="17"/>
      <c r="DW381" s="17"/>
      <c r="DX381" s="17"/>
      <c r="DY381" s="17"/>
      <c r="DZ381" s="17"/>
      <c r="EA381" s="17"/>
      <c r="EB381" s="17"/>
      <c r="EC381" s="17"/>
    </row>
    <row r="382" spans="1:133" x14ac:dyDescent="0.25">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c r="BD382" s="17"/>
      <c r="BE382" s="17"/>
      <c r="BF382" s="17"/>
      <c r="BG382" s="17"/>
      <c r="BH382" s="17"/>
      <c r="BI382" s="17"/>
      <c r="BJ382" s="17"/>
      <c r="BK382" s="17"/>
      <c r="BL382" s="17"/>
      <c r="BM382" s="17"/>
      <c r="BN382" s="17"/>
      <c r="BO382" s="17"/>
      <c r="BP382" s="17"/>
      <c r="BQ382" s="17"/>
      <c r="BR382" s="17"/>
      <c r="BS382" s="17"/>
      <c r="BT382" s="17"/>
      <c r="BU382" s="17"/>
      <c r="BV382" s="17"/>
      <c r="BW382" s="17"/>
      <c r="BX382" s="17"/>
      <c r="BY382" s="17"/>
      <c r="BZ382" s="17"/>
      <c r="CA382" s="17"/>
      <c r="CB382" s="17"/>
      <c r="CC382" s="17"/>
      <c r="CD382" s="17"/>
      <c r="CE382" s="17"/>
      <c r="CF382" s="17"/>
      <c r="CG382" s="17"/>
      <c r="CH382" s="17"/>
      <c r="CI382" s="17"/>
      <c r="CJ382" s="17"/>
      <c r="CK382" s="17"/>
      <c r="CL382" s="17"/>
      <c r="CM382" s="17"/>
      <c r="CN382" s="17"/>
      <c r="CO382" s="17"/>
      <c r="CP382" s="17"/>
      <c r="CQ382" s="17"/>
      <c r="CR382" s="17"/>
      <c r="CS382" s="17"/>
      <c r="CT382" s="17"/>
      <c r="CU382" s="17"/>
      <c r="CV382" s="17"/>
      <c r="CW382" s="17"/>
      <c r="CX382" s="17"/>
      <c r="CY382" s="17"/>
      <c r="CZ382" s="17"/>
      <c r="DA382" s="17"/>
      <c r="DB382" s="17"/>
      <c r="DC382" s="17"/>
      <c r="DD382" s="17"/>
      <c r="DE382" s="17"/>
      <c r="DF382" s="17"/>
      <c r="DG382" s="17"/>
      <c r="DH382" s="17"/>
      <c r="DI382" s="17"/>
      <c r="DJ382" s="17"/>
      <c r="DK382" s="17"/>
      <c r="DL382" s="17"/>
      <c r="DM382" s="17"/>
      <c r="DN382" s="17"/>
      <c r="DO382" s="17"/>
      <c r="DP382" s="17"/>
      <c r="DQ382" s="17"/>
      <c r="DR382" s="17"/>
      <c r="DS382" s="17"/>
      <c r="DT382" s="17"/>
      <c r="DU382" s="17"/>
      <c r="DV382" s="17"/>
      <c r="DW382" s="17"/>
      <c r="DX382" s="17"/>
      <c r="DY382" s="17"/>
      <c r="DZ382" s="17"/>
      <c r="EA382" s="17"/>
      <c r="EB382" s="17"/>
      <c r="EC382" s="17"/>
    </row>
    <row r="383" spans="1:133" x14ac:dyDescent="0.25">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c r="BD383" s="17"/>
      <c r="BE383" s="17"/>
      <c r="BF383" s="17"/>
      <c r="BG383" s="17"/>
      <c r="BH383" s="17"/>
      <c r="BI383" s="17"/>
      <c r="BJ383" s="17"/>
      <c r="BK383" s="17"/>
      <c r="BL383" s="17"/>
      <c r="BM383" s="17"/>
      <c r="BN383" s="17"/>
      <c r="BO383" s="17"/>
      <c r="BP383" s="17"/>
      <c r="BQ383" s="17"/>
      <c r="BR383" s="17"/>
      <c r="BS383" s="17"/>
      <c r="BT383" s="17"/>
      <c r="BU383" s="17"/>
      <c r="BV383" s="17"/>
      <c r="BW383" s="17"/>
      <c r="BX383" s="17"/>
      <c r="BY383" s="17"/>
      <c r="BZ383" s="17"/>
      <c r="CA383" s="17"/>
      <c r="CB383" s="17"/>
      <c r="CC383" s="17"/>
      <c r="CD383" s="17"/>
      <c r="CE383" s="17"/>
      <c r="CF383" s="17"/>
      <c r="CG383" s="17"/>
      <c r="CH383" s="17"/>
      <c r="CI383" s="17"/>
      <c r="CJ383" s="17"/>
      <c r="CK383" s="17"/>
      <c r="CL383" s="17"/>
      <c r="CM383" s="17"/>
      <c r="CN383" s="17"/>
      <c r="CO383" s="17"/>
      <c r="CP383" s="17"/>
      <c r="CQ383" s="17"/>
      <c r="CR383" s="17"/>
      <c r="CS383" s="17"/>
      <c r="CT383" s="17"/>
      <c r="CU383" s="17"/>
      <c r="CV383" s="17"/>
      <c r="CW383" s="17"/>
      <c r="CX383" s="17"/>
      <c r="CY383" s="17"/>
      <c r="CZ383" s="17"/>
      <c r="DA383" s="17"/>
      <c r="DB383" s="17"/>
      <c r="DC383" s="17"/>
      <c r="DD383" s="17"/>
      <c r="DE383" s="17"/>
      <c r="DF383" s="17"/>
      <c r="DG383" s="17"/>
      <c r="DH383" s="17"/>
      <c r="DI383" s="17"/>
      <c r="DJ383" s="17"/>
      <c r="DK383" s="17"/>
      <c r="DL383" s="17"/>
      <c r="DM383" s="17"/>
      <c r="DN383" s="17"/>
      <c r="DO383" s="17"/>
      <c r="DP383" s="17"/>
      <c r="DQ383" s="17"/>
      <c r="DR383" s="17"/>
      <c r="DS383" s="17"/>
      <c r="DT383" s="17"/>
      <c r="DU383" s="17"/>
      <c r="DV383" s="17"/>
      <c r="DW383" s="17"/>
      <c r="DX383" s="17"/>
      <c r="DY383" s="17"/>
      <c r="DZ383" s="17"/>
      <c r="EA383" s="17"/>
      <c r="EB383" s="17"/>
      <c r="EC383" s="17"/>
    </row>
    <row r="384" spans="1:133" x14ac:dyDescent="0.25">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c r="BD384" s="17"/>
      <c r="BE384" s="17"/>
      <c r="BF384" s="17"/>
      <c r="BG384" s="17"/>
      <c r="BH384" s="17"/>
      <c r="BI384" s="17"/>
      <c r="BJ384" s="17"/>
      <c r="BK384" s="17"/>
      <c r="BL384" s="17"/>
      <c r="BM384" s="17"/>
      <c r="BN384" s="17"/>
      <c r="BO384" s="17"/>
      <c r="BP384" s="17"/>
      <c r="BQ384" s="17"/>
      <c r="BR384" s="17"/>
      <c r="BS384" s="17"/>
      <c r="BT384" s="17"/>
      <c r="BU384" s="17"/>
      <c r="BV384" s="17"/>
      <c r="BW384" s="17"/>
      <c r="BX384" s="17"/>
      <c r="BY384" s="17"/>
      <c r="BZ384" s="17"/>
      <c r="CA384" s="17"/>
      <c r="CB384" s="17"/>
      <c r="CC384" s="17"/>
      <c r="CD384" s="17"/>
      <c r="CE384" s="17"/>
      <c r="CF384" s="17"/>
      <c r="CG384" s="17"/>
      <c r="CH384" s="17"/>
      <c r="CI384" s="17"/>
      <c r="CJ384" s="17"/>
      <c r="CK384" s="17"/>
      <c r="CL384" s="17"/>
      <c r="CM384" s="17"/>
      <c r="CN384" s="17"/>
      <c r="CO384" s="17"/>
      <c r="CP384" s="17"/>
      <c r="CQ384" s="17"/>
      <c r="CR384" s="17"/>
      <c r="CS384" s="17"/>
      <c r="CT384" s="17"/>
      <c r="CU384" s="17"/>
      <c r="CV384" s="17"/>
      <c r="CW384" s="17"/>
      <c r="CX384" s="17"/>
      <c r="CY384" s="17"/>
      <c r="CZ384" s="17"/>
      <c r="DA384" s="17"/>
      <c r="DB384" s="17"/>
      <c r="DC384" s="17"/>
      <c r="DD384" s="17"/>
      <c r="DE384" s="17"/>
      <c r="DF384" s="17"/>
      <c r="DG384" s="17"/>
      <c r="DH384" s="17"/>
      <c r="DI384" s="17"/>
      <c r="DJ384" s="17"/>
      <c r="DK384" s="17"/>
      <c r="DL384" s="17"/>
      <c r="DM384" s="17"/>
      <c r="DN384" s="17"/>
      <c r="DO384" s="17"/>
      <c r="DP384" s="17"/>
      <c r="DQ384" s="17"/>
      <c r="DR384" s="17"/>
      <c r="DS384" s="17"/>
      <c r="DT384" s="17"/>
      <c r="DU384" s="17"/>
      <c r="DV384" s="17"/>
      <c r="DW384" s="17"/>
      <c r="DX384" s="17"/>
      <c r="DY384" s="17"/>
      <c r="DZ384" s="17"/>
      <c r="EA384" s="17"/>
      <c r="EB384" s="17"/>
      <c r="EC384" s="17"/>
    </row>
    <row r="385" spans="1:133" x14ac:dyDescent="0.2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c r="BD385" s="17"/>
      <c r="BE385" s="17"/>
      <c r="BF385" s="17"/>
      <c r="BG385" s="17"/>
      <c r="BH385" s="17"/>
      <c r="BI385" s="17"/>
      <c r="BJ385" s="17"/>
      <c r="BK385" s="17"/>
      <c r="BL385" s="17"/>
      <c r="BM385" s="17"/>
      <c r="BN385" s="17"/>
      <c r="BO385" s="17"/>
      <c r="BP385" s="17"/>
      <c r="BQ385" s="17"/>
      <c r="BR385" s="17"/>
      <c r="BS385" s="17"/>
      <c r="BT385" s="17"/>
      <c r="BU385" s="17"/>
      <c r="BV385" s="17"/>
      <c r="BW385" s="17"/>
      <c r="BX385" s="17"/>
      <c r="BY385" s="17"/>
      <c r="BZ385" s="17"/>
      <c r="CA385" s="17"/>
      <c r="CB385" s="17"/>
      <c r="CC385" s="17"/>
      <c r="CD385" s="17"/>
      <c r="CE385" s="17"/>
      <c r="CF385" s="17"/>
      <c r="CG385" s="17"/>
      <c r="CH385" s="17"/>
      <c r="CI385" s="17"/>
      <c r="CJ385" s="17"/>
      <c r="CK385" s="17"/>
      <c r="CL385" s="17"/>
      <c r="CM385" s="17"/>
      <c r="CN385" s="17"/>
      <c r="CO385" s="17"/>
      <c r="CP385" s="17"/>
      <c r="CQ385" s="17"/>
      <c r="CR385" s="17"/>
      <c r="CS385" s="17"/>
      <c r="CT385" s="17"/>
      <c r="CU385" s="17"/>
      <c r="CV385" s="17"/>
      <c r="CW385" s="17"/>
      <c r="CX385" s="17"/>
      <c r="CY385" s="17"/>
      <c r="CZ385" s="17"/>
      <c r="DA385" s="17"/>
      <c r="DB385" s="17"/>
      <c r="DC385" s="17"/>
      <c r="DD385" s="17"/>
      <c r="DE385" s="17"/>
      <c r="DF385" s="17"/>
      <c r="DG385" s="17"/>
      <c r="DH385" s="17"/>
      <c r="DI385" s="17"/>
      <c r="DJ385" s="17"/>
      <c r="DK385" s="17"/>
      <c r="DL385" s="17"/>
      <c r="DM385" s="17"/>
      <c r="DN385" s="17"/>
      <c r="DO385" s="17"/>
      <c r="DP385" s="17"/>
      <c r="DQ385" s="17"/>
      <c r="DR385" s="17"/>
      <c r="DS385" s="17"/>
      <c r="DT385" s="17"/>
      <c r="DU385" s="17"/>
      <c r="DV385" s="17"/>
      <c r="DW385" s="17"/>
      <c r="DX385" s="17"/>
      <c r="DY385" s="17"/>
      <c r="DZ385" s="17"/>
      <c r="EA385" s="17"/>
      <c r="EB385" s="17"/>
      <c r="EC385" s="17"/>
    </row>
    <row r="386" spans="1:133" x14ac:dyDescent="0.25">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c r="BD386" s="17"/>
      <c r="BE386" s="17"/>
      <c r="BF386" s="17"/>
      <c r="BG386" s="17"/>
      <c r="BH386" s="17"/>
      <c r="BI386" s="17"/>
      <c r="BJ386" s="17"/>
      <c r="BK386" s="17"/>
      <c r="BL386" s="17"/>
      <c r="BM386" s="17"/>
      <c r="BN386" s="17"/>
      <c r="BO386" s="17"/>
      <c r="BP386" s="17"/>
      <c r="BQ386" s="17"/>
      <c r="BR386" s="17"/>
      <c r="BS386" s="17"/>
      <c r="BT386" s="17"/>
      <c r="BU386" s="17"/>
      <c r="BV386" s="17"/>
      <c r="BW386" s="17"/>
      <c r="BX386" s="17"/>
      <c r="BY386" s="17"/>
      <c r="BZ386" s="17"/>
      <c r="CA386" s="17"/>
      <c r="CB386" s="17"/>
      <c r="CC386" s="17"/>
      <c r="CD386" s="17"/>
      <c r="CE386" s="17"/>
      <c r="CF386" s="17"/>
      <c r="CG386" s="17"/>
      <c r="CH386" s="17"/>
      <c r="CI386" s="17"/>
      <c r="CJ386" s="17"/>
      <c r="CK386" s="17"/>
      <c r="CL386" s="17"/>
      <c r="CM386" s="17"/>
      <c r="CN386" s="17"/>
      <c r="CO386" s="17"/>
      <c r="CP386" s="17"/>
      <c r="CQ386" s="17"/>
      <c r="CR386" s="17"/>
      <c r="CS386" s="17"/>
      <c r="CT386" s="17"/>
      <c r="CU386" s="17"/>
      <c r="CV386" s="17"/>
      <c r="CW386" s="17"/>
      <c r="CX386" s="17"/>
      <c r="CY386" s="17"/>
      <c r="CZ386" s="17"/>
      <c r="DA386" s="17"/>
      <c r="DB386" s="17"/>
      <c r="DC386" s="17"/>
      <c r="DD386" s="17"/>
      <c r="DE386" s="17"/>
      <c r="DF386" s="17"/>
      <c r="DG386" s="17"/>
      <c r="DH386" s="17"/>
      <c r="DI386" s="17"/>
      <c r="DJ386" s="17"/>
      <c r="DK386" s="17"/>
      <c r="DL386" s="17"/>
      <c r="DM386" s="17"/>
      <c r="DN386" s="17"/>
      <c r="DO386" s="17"/>
      <c r="DP386" s="17"/>
      <c r="DQ386" s="17"/>
      <c r="DR386" s="17"/>
      <c r="DS386" s="17"/>
      <c r="DT386" s="17"/>
      <c r="DU386" s="17"/>
      <c r="DV386" s="17"/>
      <c r="DW386" s="17"/>
      <c r="DX386" s="17"/>
      <c r="DY386" s="17"/>
      <c r="DZ386" s="17"/>
      <c r="EA386" s="17"/>
      <c r="EB386" s="17"/>
      <c r="EC386" s="17"/>
    </row>
    <row r="387" spans="1:133" x14ac:dyDescent="0.25">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c r="BD387" s="17"/>
      <c r="BE387" s="17"/>
      <c r="BF387" s="17"/>
      <c r="BG387" s="17"/>
      <c r="BH387" s="17"/>
      <c r="BI387" s="17"/>
      <c r="BJ387" s="17"/>
      <c r="BK387" s="17"/>
      <c r="BL387" s="17"/>
      <c r="BM387" s="17"/>
      <c r="BN387" s="17"/>
      <c r="BO387" s="17"/>
      <c r="BP387" s="17"/>
      <c r="BQ387" s="17"/>
      <c r="BR387" s="17"/>
      <c r="BS387" s="17"/>
      <c r="BT387" s="17"/>
      <c r="BU387" s="17"/>
      <c r="BV387" s="17"/>
      <c r="BW387" s="17"/>
      <c r="BX387" s="17"/>
      <c r="BY387" s="17"/>
      <c r="BZ387" s="17"/>
      <c r="CA387" s="17"/>
      <c r="CB387" s="17"/>
      <c r="CC387" s="17"/>
      <c r="CD387" s="17"/>
      <c r="CE387" s="17"/>
      <c r="CF387" s="17"/>
      <c r="CG387" s="17"/>
      <c r="CH387" s="17"/>
      <c r="CI387" s="17"/>
      <c r="CJ387" s="17"/>
      <c r="CK387" s="17"/>
      <c r="CL387" s="17"/>
      <c r="CM387" s="17"/>
      <c r="CN387" s="17"/>
      <c r="CO387" s="17"/>
      <c r="CP387" s="17"/>
      <c r="CQ387" s="17"/>
      <c r="CR387" s="17"/>
      <c r="CS387" s="17"/>
      <c r="CT387" s="17"/>
      <c r="CU387" s="17"/>
      <c r="CV387" s="17"/>
      <c r="CW387" s="17"/>
      <c r="CX387" s="17"/>
      <c r="CY387" s="17"/>
      <c r="CZ387" s="17"/>
      <c r="DA387" s="17"/>
      <c r="DB387" s="17"/>
      <c r="DC387" s="17"/>
      <c r="DD387" s="17"/>
      <c r="DE387" s="17"/>
      <c r="DF387" s="17"/>
      <c r="DG387" s="17"/>
      <c r="DH387" s="17"/>
      <c r="DI387" s="17"/>
      <c r="DJ387" s="17"/>
      <c r="DK387" s="17"/>
      <c r="DL387" s="17"/>
      <c r="DM387" s="17"/>
      <c r="DN387" s="17"/>
      <c r="DO387" s="17"/>
      <c r="DP387" s="17"/>
      <c r="DQ387" s="17"/>
      <c r="DR387" s="17"/>
      <c r="DS387" s="17"/>
      <c r="DT387" s="17"/>
      <c r="DU387" s="17"/>
      <c r="DV387" s="17"/>
      <c r="DW387" s="17"/>
      <c r="DX387" s="17"/>
      <c r="DY387" s="17"/>
      <c r="DZ387" s="17"/>
      <c r="EA387" s="17"/>
      <c r="EB387" s="17"/>
      <c r="EC387" s="17"/>
    </row>
    <row r="388" spans="1:133" x14ac:dyDescent="0.25">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7"/>
      <c r="BD388" s="17"/>
      <c r="BE388" s="17"/>
      <c r="BF388" s="17"/>
      <c r="BG388" s="17"/>
      <c r="BH388" s="17"/>
      <c r="BI388" s="17"/>
      <c r="BJ388" s="17"/>
      <c r="BK388" s="17"/>
      <c r="BL388" s="17"/>
      <c r="BM388" s="17"/>
      <c r="BN388" s="17"/>
      <c r="BO388" s="17"/>
      <c r="BP388" s="17"/>
      <c r="BQ388" s="17"/>
      <c r="BR388" s="17"/>
      <c r="BS388" s="17"/>
      <c r="BT388" s="17"/>
      <c r="BU388" s="17"/>
      <c r="BV388" s="17"/>
      <c r="BW388" s="17"/>
      <c r="BX388" s="17"/>
      <c r="BY388" s="17"/>
      <c r="BZ388" s="17"/>
      <c r="CA388" s="17"/>
      <c r="CB388" s="17"/>
      <c r="CC388" s="17"/>
      <c r="CD388" s="17"/>
      <c r="CE388" s="17"/>
      <c r="CF388" s="17"/>
      <c r="CG388" s="17"/>
      <c r="CH388" s="17"/>
      <c r="CI388" s="17"/>
      <c r="CJ388" s="17"/>
      <c r="CK388" s="17"/>
      <c r="CL388" s="17"/>
      <c r="CM388" s="17"/>
      <c r="CN388" s="17"/>
      <c r="CO388" s="17"/>
      <c r="CP388" s="17"/>
      <c r="CQ388" s="17"/>
      <c r="CR388" s="17"/>
      <c r="CS388" s="17"/>
      <c r="CT388" s="17"/>
      <c r="CU388" s="17"/>
      <c r="CV388" s="17"/>
      <c r="CW388" s="17"/>
      <c r="CX388" s="17"/>
      <c r="CY388" s="17"/>
      <c r="CZ388" s="17"/>
      <c r="DA388" s="17"/>
      <c r="DB388" s="17"/>
      <c r="DC388" s="17"/>
      <c r="DD388" s="17"/>
      <c r="DE388" s="17"/>
      <c r="DF388" s="17"/>
      <c r="DG388" s="17"/>
      <c r="DH388" s="17"/>
      <c r="DI388" s="17"/>
      <c r="DJ388" s="17"/>
      <c r="DK388" s="17"/>
      <c r="DL388" s="17"/>
      <c r="DM388" s="17"/>
      <c r="DN388" s="17"/>
      <c r="DO388" s="17"/>
      <c r="DP388" s="17"/>
      <c r="DQ388" s="17"/>
      <c r="DR388" s="17"/>
      <c r="DS388" s="17"/>
      <c r="DT388" s="17"/>
      <c r="DU388" s="17"/>
      <c r="DV388" s="17"/>
      <c r="DW388" s="17"/>
      <c r="DX388" s="17"/>
      <c r="DY388" s="17"/>
      <c r="DZ388" s="17"/>
      <c r="EA388" s="17"/>
      <c r="EB388" s="17"/>
      <c r="EC388" s="17"/>
    </row>
    <row r="389" spans="1:133" x14ac:dyDescent="0.25">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c r="BD389" s="17"/>
      <c r="BE389" s="17"/>
      <c r="BF389" s="17"/>
      <c r="BG389" s="17"/>
      <c r="BH389" s="17"/>
      <c r="BI389" s="17"/>
      <c r="BJ389" s="17"/>
      <c r="BK389" s="17"/>
      <c r="BL389" s="17"/>
      <c r="BM389" s="17"/>
      <c r="BN389" s="17"/>
      <c r="BO389" s="17"/>
      <c r="BP389" s="17"/>
      <c r="BQ389" s="17"/>
      <c r="BR389" s="17"/>
      <c r="BS389" s="17"/>
      <c r="BT389" s="17"/>
      <c r="BU389" s="17"/>
      <c r="BV389" s="17"/>
      <c r="BW389" s="17"/>
      <c r="BX389" s="17"/>
      <c r="BY389" s="17"/>
      <c r="BZ389" s="17"/>
      <c r="CA389" s="17"/>
      <c r="CB389" s="17"/>
      <c r="CC389" s="17"/>
      <c r="CD389" s="17"/>
      <c r="CE389" s="17"/>
      <c r="CF389" s="17"/>
      <c r="CG389" s="17"/>
      <c r="CH389" s="17"/>
      <c r="CI389" s="17"/>
      <c r="CJ389" s="17"/>
      <c r="CK389" s="17"/>
      <c r="CL389" s="17"/>
      <c r="CM389" s="17"/>
      <c r="CN389" s="17"/>
      <c r="CO389" s="17"/>
      <c r="CP389" s="17"/>
      <c r="CQ389" s="17"/>
      <c r="CR389" s="17"/>
      <c r="CS389" s="17"/>
      <c r="CT389" s="17"/>
      <c r="CU389" s="17"/>
      <c r="CV389" s="17"/>
      <c r="CW389" s="17"/>
      <c r="CX389" s="17"/>
      <c r="CY389" s="17"/>
      <c r="CZ389" s="17"/>
      <c r="DA389" s="17"/>
      <c r="DB389" s="17"/>
      <c r="DC389" s="17"/>
      <c r="DD389" s="17"/>
      <c r="DE389" s="17"/>
      <c r="DF389" s="17"/>
      <c r="DG389" s="17"/>
      <c r="DH389" s="17"/>
      <c r="DI389" s="17"/>
      <c r="DJ389" s="17"/>
      <c r="DK389" s="17"/>
      <c r="DL389" s="17"/>
      <c r="DM389" s="17"/>
      <c r="DN389" s="17"/>
      <c r="DO389" s="17"/>
      <c r="DP389" s="17"/>
      <c r="DQ389" s="17"/>
      <c r="DR389" s="17"/>
      <c r="DS389" s="17"/>
      <c r="DT389" s="17"/>
      <c r="DU389" s="17"/>
      <c r="DV389" s="17"/>
      <c r="DW389" s="17"/>
      <c r="DX389" s="17"/>
      <c r="DY389" s="17"/>
      <c r="DZ389" s="17"/>
      <c r="EA389" s="17"/>
      <c r="EB389" s="17"/>
      <c r="EC389" s="17"/>
    </row>
    <row r="390" spans="1:133" x14ac:dyDescent="0.25">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c r="BD390" s="17"/>
      <c r="BE390" s="17"/>
      <c r="BF390" s="17"/>
      <c r="BG390" s="17"/>
      <c r="BH390" s="17"/>
      <c r="BI390" s="17"/>
      <c r="BJ390" s="17"/>
      <c r="BK390" s="17"/>
      <c r="BL390" s="17"/>
      <c r="BM390" s="17"/>
      <c r="BN390" s="17"/>
      <c r="BO390" s="17"/>
      <c r="BP390" s="17"/>
      <c r="BQ390" s="17"/>
      <c r="BR390" s="17"/>
      <c r="BS390" s="17"/>
      <c r="BT390" s="17"/>
      <c r="BU390" s="17"/>
      <c r="BV390" s="17"/>
      <c r="BW390" s="17"/>
      <c r="BX390" s="17"/>
      <c r="BY390" s="17"/>
      <c r="BZ390" s="17"/>
      <c r="CA390" s="17"/>
      <c r="CB390" s="17"/>
      <c r="CC390" s="17"/>
      <c r="CD390" s="17"/>
      <c r="CE390" s="17"/>
      <c r="CF390" s="17"/>
      <c r="CG390" s="17"/>
      <c r="CH390" s="17"/>
      <c r="CI390" s="17"/>
      <c r="CJ390" s="17"/>
      <c r="CK390" s="17"/>
      <c r="CL390" s="17"/>
      <c r="CM390" s="17"/>
      <c r="CN390" s="17"/>
      <c r="CO390" s="17"/>
      <c r="CP390" s="17"/>
      <c r="CQ390" s="17"/>
      <c r="CR390" s="17"/>
      <c r="CS390" s="17"/>
      <c r="CT390" s="17"/>
      <c r="CU390" s="17"/>
      <c r="CV390" s="17"/>
      <c r="CW390" s="17"/>
      <c r="CX390" s="17"/>
      <c r="CY390" s="17"/>
      <c r="CZ390" s="17"/>
      <c r="DA390" s="17"/>
      <c r="DB390" s="17"/>
      <c r="DC390" s="17"/>
      <c r="DD390" s="17"/>
      <c r="DE390" s="17"/>
      <c r="DF390" s="17"/>
      <c r="DG390" s="17"/>
      <c r="DH390" s="17"/>
      <c r="DI390" s="17"/>
      <c r="DJ390" s="17"/>
      <c r="DK390" s="17"/>
      <c r="DL390" s="17"/>
      <c r="DM390" s="17"/>
      <c r="DN390" s="17"/>
      <c r="DO390" s="17"/>
      <c r="DP390" s="17"/>
      <c r="DQ390" s="17"/>
      <c r="DR390" s="17"/>
      <c r="DS390" s="17"/>
      <c r="DT390" s="17"/>
      <c r="DU390" s="17"/>
      <c r="DV390" s="17"/>
      <c r="DW390" s="17"/>
      <c r="DX390" s="17"/>
      <c r="DY390" s="17"/>
      <c r="DZ390" s="17"/>
      <c r="EA390" s="17"/>
      <c r="EB390" s="17"/>
      <c r="EC390" s="17"/>
    </row>
    <row r="391" spans="1:133" x14ac:dyDescent="0.25">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c r="BD391" s="17"/>
      <c r="BE391" s="17"/>
      <c r="BF391" s="17"/>
      <c r="BG391" s="17"/>
      <c r="BH391" s="17"/>
      <c r="BI391" s="17"/>
      <c r="BJ391" s="17"/>
      <c r="BK391" s="17"/>
      <c r="BL391" s="17"/>
      <c r="BM391" s="17"/>
      <c r="BN391" s="17"/>
      <c r="BO391" s="17"/>
      <c r="BP391" s="17"/>
      <c r="BQ391" s="17"/>
      <c r="BR391" s="17"/>
      <c r="BS391" s="17"/>
      <c r="BT391" s="17"/>
      <c r="BU391" s="17"/>
      <c r="BV391" s="17"/>
      <c r="BW391" s="17"/>
      <c r="BX391" s="17"/>
      <c r="BY391" s="17"/>
      <c r="BZ391" s="17"/>
      <c r="CA391" s="17"/>
      <c r="CB391" s="17"/>
      <c r="CC391" s="17"/>
      <c r="CD391" s="17"/>
      <c r="CE391" s="17"/>
      <c r="CF391" s="17"/>
      <c r="CG391" s="17"/>
      <c r="CH391" s="17"/>
      <c r="CI391" s="17"/>
      <c r="CJ391" s="17"/>
      <c r="CK391" s="17"/>
      <c r="CL391" s="17"/>
      <c r="CM391" s="17"/>
      <c r="CN391" s="17"/>
      <c r="CO391" s="17"/>
      <c r="CP391" s="17"/>
      <c r="CQ391" s="17"/>
      <c r="CR391" s="17"/>
      <c r="CS391" s="17"/>
      <c r="CT391" s="17"/>
      <c r="CU391" s="17"/>
      <c r="CV391" s="17"/>
      <c r="CW391" s="17"/>
      <c r="CX391" s="17"/>
      <c r="CY391" s="17"/>
      <c r="CZ391" s="17"/>
      <c r="DA391" s="17"/>
      <c r="DB391" s="17"/>
      <c r="DC391" s="17"/>
      <c r="DD391" s="17"/>
      <c r="DE391" s="17"/>
      <c r="DF391" s="17"/>
      <c r="DG391" s="17"/>
      <c r="DH391" s="17"/>
      <c r="DI391" s="17"/>
      <c r="DJ391" s="17"/>
      <c r="DK391" s="17"/>
      <c r="DL391" s="17"/>
      <c r="DM391" s="17"/>
      <c r="DN391" s="17"/>
      <c r="DO391" s="17"/>
      <c r="DP391" s="17"/>
      <c r="DQ391" s="17"/>
      <c r="DR391" s="17"/>
      <c r="DS391" s="17"/>
      <c r="DT391" s="17"/>
      <c r="DU391" s="17"/>
      <c r="DV391" s="17"/>
      <c r="DW391" s="17"/>
      <c r="DX391" s="17"/>
      <c r="DY391" s="17"/>
      <c r="DZ391" s="17"/>
      <c r="EA391" s="17"/>
      <c r="EB391" s="17"/>
      <c r="EC391" s="17"/>
    </row>
    <row r="392" spans="1:133" x14ac:dyDescent="0.25">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7"/>
      <c r="BD392" s="17"/>
      <c r="BE392" s="17"/>
      <c r="BF392" s="17"/>
      <c r="BG392" s="17"/>
      <c r="BH392" s="17"/>
      <c r="BI392" s="17"/>
      <c r="BJ392" s="17"/>
      <c r="BK392" s="17"/>
      <c r="BL392" s="17"/>
      <c r="BM392" s="17"/>
      <c r="BN392" s="17"/>
      <c r="BO392" s="17"/>
      <c r="BP392" s="17"/>
      <c r="BQ392" s="17"/>
      <c r="BR392" s="17"/>
      <c r="BS392" s="17"/>
      <c r="BT392" s="17"/>
      <c r="BU392" s="17"/>
      <c r="BV392" s="17"/>
      <c r="BW392" s="17"/>
      <c r="BX392" s="17"/>
      <c r="BY392" s="17"/>
      <c r="BZ392" s="17"/>
      <c r="CA392" s="17"/>
      <c r="CB392" s="17"/>
      <c r="CC392" s="17"/>
      <c r="CD392" s="17"/>
      <c r="CE392" s="17"/>
      <c r="CF392" s="17"/>
      <c r="CG392" s="17"/>
      <c r="CH392" s="17"/>
      <c r="CI392" s="17"/>
      <c r="CJ392" s="17"/>
      <c r="CK392" s="17"/>
      <c r="CL392" s="17"/>
      <c r="CM392" s="17"/>
      <c r="CN392" s="17"/>
      <c r="CO392" s="17"/>
      <c r="CP392" s="17"/>
      <c r="CQ392" s="17"/>
      <c r="CR392" s="17"/>
      <c r="CS392" s="17"/>
      <c r="CT392" s="17"/>
      <c r="CU392" s="17"/>
      <c r="CV392" s="17"/>
      <c r="CW392" s="17"/>
      <c r="CX392" s="17"/>
      <c r="CY392" s="17"/>
      <c r="CZ392" s="17"/>
      <c r="DA392" s="17"/>
      <c r="DB392" s="17"/>
      <c r="DC392" s="17"/>
      <c r="DD392" s="17"/>
      <c r="DE392" s="17"/>
      <c r="DF392" s="17"/>
      <c r="DG392" s="17"/>
      <c r="DH392" s="17"/>
      <c r="DI392" s="17"/>
      <c r="DJ392" s="17"/>
      <c r="DK392" s="17"/>
      <c r="DL392" s="17"/>
      <c r="DM392" s="17"/>
      <c r="DN392" s="17"/>
      <c r="DO392" s="17"/>
      <c r="DP392" s="17"/>
      <c r="DQ392" s="17"/>
      <c r="DR392" s="17"/>
      <c r="DS392" s="17"/>
      <c r="DT392" s="17"/>
      <c r="DU392" s="17"/>
      <c r="DV392" s="17"/>
      <c r="DW392" s="17"/>
      <c r="DX392" s="17"/>
      <c r="DY392" s="17"/>
      <c r="DZ392" s="17"/>
      <c r="EA392" s="17"/>
      <c r="EB392" s="17"/>
      <c r="EC392" s="17"/>
    </row>
    <row r="393" spans="1:133" x14ac:dyDescent="0.25">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c r="BD393" s="17"/>
      <c r="BE393" s="17"/>
      <c r="BF393" s="17"/>
      <c r="BG393" s="17"/>
      <c r="BH393" s="17"/>
      <c r="BI393" s="17"/>
      <c r="BJ393" s="17"/>
      <c r="BK393" s="17"/>
      <c r="BL393" s="17"/>
      <c r="BM393" s="17"/>
      <c r="BN393" s="17"/>
      <c r="BO393" s="17"/>
      <c r="BP393" s="17"/>
      <c r="BQ393" s="17"/>
      <c r="BR393" s="17"/>
      <c r="BS393" s="17"/>
      <c r="BT393" s="17"/>
      <c r="BU393" s="17"/>
      <c r="BV393" s="17"/>
      <c r="BW393" s="17"/>
      <c r="BX393" s="17"/>
      <c r="BY393" s="17"/>
      <c r="BZ393" s="17"/>
      <c r="CA393" s="17"/>
      <c r="CB393" s="17"/>
      <c r="CC393" s="17"/>
      <c r="CD393" s="17"/>
      <c r="CE393" s="17"/>
      <c r="CF393" s="17"/>
      <c r="CG393" s="17"/>
      <c r="CH393" s="17"/>
      <c r="CI393" s="17"/>
      <c r="CJ393" s="17"/>
      <c r="CK393" s="17"/>
      <c r="CL393" s="17"/>
      <c r="CM393" s="17"/>
      <c r="CN393" s="17"/>
      <c r="CO393" s="17"/>
      <c r="CP393" s="17"/>
      <c r="CQ393" s="17"/>
      <c r="CR393" s="17"/>
      <c r="CS393" s="17"/>
      <c r="CT393" s="17"/>
      <c r="CU393" s="17"/>
      <c r="CV393" s="17"/>
      <c r="CW393" s="17"/>
      <c r="CX393" s="17"/>
      <c r="CY393" s="17"/>
      <c r="CZ393" s="17"/>
      <c r="DA393" s="17"/>
      <c r="DB393" s="17"/>
      <c r="DC393" s="17"/>
      <c r="DD393" s="17"/>
      <c r="DE393" s="17"/>
      <c r="DF393" s="17"/>
      <c r="DG393" s="17"/>
      <c r="DH393" s="17"/>
      <c r="DI393" s="17"/>
      <c r="DJ393" s="17"/>
      <c r="DK393" s="17"/>
      <c r="DL393" s="17"/>
      <c r="DM393" s="17"/>
      <c r="DN393" s="17"/>
      <c r="DO393" s="17"/>
      <c r="DP393" s="17"/>
      <c r="DQ393" s="17"/>
      <c r="DR393" s="17"/>
      <c r="DS393" s="17"/>
      <c r="DT393" s="17"/>
      <c r="DU393" s="17"/>
      <c r="DV393" s="17"/>
      <c r="DW393" s="17"/>
      <c r="DX393" s="17"/>
      <c r="DY393" s="17"/>
      <c r="DZ393" s="17"/>
      <c r="EA393" s="17"/>
      <c r="EB393" s="17"/>
      <c r="EC393" s="17"/>
    </row>
    <row r="394" spans="1:133" x14ac:dyDescent="0.25">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c r="BD394" s="17"/>
      <c r="BE394" s="17"/>
      <c r="BF394" s="17"/>
      <c r="BG394" s="17"/>
      <c r="BH394" s="17"/>
      <c r="BI394" s="17"/>
      <c r="BJ394" s="17"/>
      <c r="BK394" s="17"/>
      <c r="BL394" s="17"/>
      <c r="BM394" s="17"/>
      <c r="BN394" s="17"/>
      <c r="BO394" s="17"/>
      <c r="BP394" s="17"/>
      <c r="BQ394" s="17"/>
      <c r="BR394" s="17"/>
      <c r="BS394" s="17"/>
      <c r="BT394" s="17"/>
      <c r="BU394" s="17"/>
      <c r="BV394" s="17"/>
      <c r="BW394" s="17"/>
      <c r="BX394" s="17"/>
      <c r="BY394" s="17"/>
      <c r="BZ394" s="17"/>
      <c r="CA394" s="17"/>
      <c r="CB394" s="17"/>
      <c r="CC394" s="17"/>
      <c r="CD394" s="17"/>
      <c r="CE394" s="17"/>
      <c r="CF394" s="17"/>
      <c r="CG394" s="17"/>
      <c r="CH394" s="17"/>
      <c r="CI394" s="17"/>
      <c r="CJ394" s="17"/>
      <c r="CK394" s="17"/>
      <c r="CL394" s="17"/>
      <c r="CM394" s="17"/>
      <c r="CN394" s="17"/>
      <c r="CO394" s="17"/>
      <c r="CP394" s="17"/>
      <c r="CQ394" s="17"/>
      <c r="CR394" s="17"/>
      <c r="CS394" s="17"/>
      <c r="CT394" s="17"/>
      <c r="CU394" s="17"/>
      <c r="CV394" s="17"/>
      <c r="CW394" s="17"/>
      <c r="CX394" s="17"/>
      <c r="CY394" s="17"/>
      <c r="CZ394" s="17"/>
      <c r="DA394" s="17"/>
      <c r="DB394" s="17"/>
      <c r="DC394" s="17"/>
      <c r="DD394" s="17"/>
      <c r="DE394" s="17"/>
      <c r="DF394" s="17"/>
      <c r="DG394" s="17"/>
      <c r="DH394" s="17"/>
      <c r="DI394" s="17"/>
      <c r="DJ394" s="17"/>
      <c r="DK394" s="17"/>
      <c r="DL394" s="17"/>
      <c r="DM394" s="17"/>
      <c r="DN394" s="17"/>
      <c r="DO394" s="17"/>
      <c r="DP394" s="17"/>
      <c r="DQ394" s="17"/>
      <c r="DR394" s="17"/>
      <c r="DS394" s="17"/>
      <c r="DT394" s="17"/>
      <c r="DU394" s="17"/>
      <c r="DV394" s="17"/>
      <c r="DW394" s="17"/>
      <c r="DX394" s="17"/>
      <c r="DY394" s="17"/>
      <c r="DZ394" s="17"/>
      <c r="EA394" s="17"/>
      <c r="EB394" s="17"/>
      <c r="EC394" s="17"/>
    </row>
    <row r="395" spans="1:133" x14ac:dyDescent="0.2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c r="BD395" s="17"/>
      <c r="BE395" s="17"/>
      <c r="BF395" s="17"/>
      <c r="BG395" s="17"/>
      <c r="BH395" s="17"/>
      <c r="BI395" s="17"/>
      <c r="BJ395" s="17"/>
      <c r="BK395" s="17"/>
      <c r="BL395" s="17"/>
      <c r="BM395" s="17"/>
      <c r="BN395" s="17"/>
      <c r="BO395" s="17"/>
      <c r="BP395" s="17"/>
      <c r="BQ395" s="17"/>
      <c r="BR395" s="17"/>
      <c r="BS395" s="17"/>
      <c r="BT395" s="17"/>
      <c r="BU395" s="17"/>
      <c r="BV395" s="17"/>
      <c r="BW395" s="17"/>
      <c r="BX395" s="17"/>
      <c r="BY395" s="17"/>
      <c r="BZ395" s="17"/>
      <c r="CA395" s="17"/>
      <c r="CB395" s="17"/>
      <c r="CC395" s="17"/>
      <c r="CD395" s="17"/>
      <c r="CE395" s="17"/>
      <c r="CF395" s="17"/>
      <c r="CG395" s="17"/>
      <c r="CH395" s="17"/>
      <c r="CI395" s="17"/>
      <c r="CJ395" s="17"/>
      <c r="CK395" s="17"/>
      <c r="CL395" s="17"/>
      <c r="CM395" s="17"/>
      <c r="CN395" s="17"/>
      <c r="CO395" s="17"/>
      <c r="CP395" s="17"/>
      <c r="CQ395" s="17"/>
      <c r="CR395" s="17"/>
      <c r="CS395" s="17"/>
      <c r="CT395" s="17"/>
      <c r="CU395" s="17"/>
      <c r="CV395" s="17"/>
      <c r="CW395" s="17"/>
      <c r="CX395" s="17"/>
      <c r="CY395" s="17"/>
      <c r="CZ395" s="17"/>
      <c r="DA395" s="17"/>
      <c r="DB395" s="17"/>
      <c r="DC395" s="17"/>
      <c r="DD395" s="17"/>
      <c r="DE395" s="17"/>
      <c r="DF395" s="17"/>
      <c r="DG395" s="17"/>
      <c r="DH395" s="17"/>
      <c r="DI395" s="17"/>
      <c r="DJ395" s="17"/>
      <c r="DK395" s="17"/>
      <c r="DL395" s="17"/>
      <c r="DM395" s="17"/>
      <c r="DN395" s="17"/>
      <c r="DO395" s="17"/>
      <c r="DP395" s="17"/>
      <c r="DQ395" s="17"/>
      <c r="DR395" s="17"/>
      <c r="DS395" s="17"/>
      <c r="DT395" s="17"/>
      <c r="DU395" s="17"/>
      <c r="DV395" s="17"/>
      <c r="DW395" s="17"/>
      <c r="DX395" s="17"/>
      <c r="DY395" s="17"/>
      <c r="DZ395" s="17"/>
      <c r="EA395" s="17"/>
      <c r="EB395" s="17"/>
      <c r="EC395" s="17"/>
    </row>
    <row r="396" spans="1:133" x14ac:dyDescent="0.25">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c r="BD396" s="17"/>
      <c r="BE396" s="17"/>
      <c r="BF396" s="17"/>
      <c r="BG396" s="17"/>
      <c r="BH396" s="17"/>
      <c r="BI396" s="17"/>
      <c r="BJ396" s="17"/>
      <c r="BK396" s="17"/>
      <c r="BL396" s="17"/>
      <c r="BM396" s="17"/>
      <c r="BN396" s="17"/>
      <c r="BO396" s="17"/>
      <c r="BP396" s="17"/>
      <c r="BQ396" s="17"/>
      <c r="BR396" s="17"/>
      <c r="BS396" s="17"/>
      <c r="BT396" s="17"/>
      <c r="BU396" s="17"/>
      <c r="BV396" s="17"/>
      <c r="BW396" s="17"/>
      <c r="BX396" s="17"/>
      <c r="BY396" s="17"/>
      <c r="BZ396" s="17"/>
      <c r="CA396" s="17"/>
      <c r="CB396" s="17"/>
      <c r="CC396" s="17"/>
      <c r="CD396" s="17"/>
      <c r="CE396" s="17"/>
      <c r="CF396" s="17"/>
      <c r="CG396" s="17"/>
      <c r="CH396" s="17"/>
      <c r="CI396" s="17"/>
      <c r="CJ396" s="17"/>
      <c r="CK396" s="17"/>
      <c r="CL396" s="17"/>
      <c r="CM396" s="17"/>
      <c r="CN396" s="17"/>
      <c r="CO396" s="17"/>
      <c r="CP396" s="17"/>
      <c r="CQ396" s="17"/>
      <c r="CR396" s="17"/>
      <c r="CS396" s="17"/>
      <c r="CT396" s="17"/>
      <c r="CU396" s="17"/>
      <c r="CV396" s="17"/>
      <c r="CW396" s="17"/>
      <c r="CX396" s="17"/>
      <c r="CY396" s="17"/>
      <c r="CZ396" s="17"/>
      <c r="DA396" s="17"/>
      <c r="DB396" s="17"/>
      <c r="DC396" s="17"/>
      <c r="DD396" s="17"/>
      <c r="DE396" s="17"/>
      <c r="DF396" s="17"/>
      <c r="DG396" s="17"/>
      <c r="DH396" s="17"/>
      <c r="DI396" s="17"/>
      <c r="DJ396" s="17"/>
      <c r="DK396" s="17"/>
      <c r="DL396" s="17"/>
      <c r="DM396" s="17"/>
      <c r="DN396" s="17"/>
      <c r="DO396" s="17"/>
      <c r="DP396" s="17"/>
      <c r="DQ396" s="17"/>
      <c r="DR396" s="17"/>
      <c r="DS396" s="17"/>
      <c r="DT396" s="17"/>
      <c r="DU396" s="17"/>
      <c r="DV396" s="17"/>
      <c r="DW396" s="17"/>
      <c r="DX396" s="17"/>
      <c r="DY396" s="17"/>
      <c r="DZ396" s="17"/>
      <c r="EA396" s="17"/>
      <c r="EB396" s="17"/>
      <c r="EC396" s="17"/>
    </row>
    <row r="397" spans="1:133" x14ac:dyDescent="0.25">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c r="BD397" s="17"/>
      <c r="BE397" s="17"/>
      <c r="BF397" s="17"/>
      <c r="BG397" s="17"/>
      <c r="BH397" s="17"/>
      <c r="BI397" s="17"/>
      <c r="BJ397" s="17"/>
      <c r="BK397" s="17"/>
      <c r="BL397" s="17"/>
      <c r="BM397" s="17"/>
      <c r="BN397" s="17"/>
      <c r="BO397" s="17"/>
      <c r="BP397" s="17"/>
      <c r="BQ397" s="17"/>
      <c r="BR397" s="17"/>
      <c r="BS397" s="17"/>
      <c r="BT397" s="17"/>
      <c r="BU397" s="17"/>
      <c r="BV397" s="17"/>
      <c r="BW397" s="17"/>
      <c r="BX397" s="17"/>
      <c r="BY397" s="17"/>
      <c r="BZ397" s="17"/>
      <c r="CA397" s="17"/>
      <c r="CB397" s="17"/>
      <c r="CC397" s="17"/>
      <c r="CD397" s="17"/>
      <c r="CE397" s="17"/>
      <c r="CF397" s="17"/>
      <c r="CG397" s="17"/>
      <c r="CH397" s="17"/>
      <c r="CI397" s="17"/>
      <c r="CJ397" s="17"/>
      <c r="CK397" s="17"/>
      <c r="CL397" s="17"/>
      <c r="CM397" s="17"/>
      <c r="CN397" s="17"/>
      <c r="CO397" s="17"/>
      <c r="CP397" s="17"/>
      <c r="CQ397" s="17"/>
      <c r="CR397" s="17"/>
      <c r="CS397" s="17"/>
      <c r="CT397" s="17"/>
      <c r="CU397" s="17"/>
      <c r="CV397" s="17"/>
      <c r="CW397" s="17"/>
      <c r="CX397" s="17"/>
      <c r="CY397" s="17"/>
      <c r="CZ397" s="17"/>
      <c r="DA397" s="17"/>
      <c r="DB397" s="17"/>
      <c r="DC397" s="17"/>
      <c r="DD397" s="17"/>
      <c r="DE397" s="17"/>
      <c r="DF397" s="17"/>
      <c r="DG397" s="17"/>
      <c r="DH397" s="17"/>
      <c r="DI397" s="17"/>
      <c r="DJ397" s="17"/>
      <c r="DK397" s="17"/>
      <c r="DL397" s="17"/>
      <c r="DM397" s="17"/>
      <c r="DN397" s="17"/>
      <c r="DO397" s="17"/>
      <c r="DP397" s="17"/>
      <c r="DQ397" s="17"/>
      <c r="DR397" s="17"/>
      <c r="DS397" s="17"/>
      <c r="DT397" s="17"/>
      <c r="DU397" s="17"/>
      <c r="DV397" s="17"/>
      <c r="DW397" s="17"/>
      <c r="DX397" s="17"/>
      <c r="DY397" s="17"/>
      <c r="DZ397" s="17"/>
      <c r="EA397" s="17"/>
      <c r="EB397" s="17"/>
      <c r="EC397" s="17"/>
    </row>
    <row r="398" spans="1:133" x14ac:dyDescent="0.25">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c r="BF398" s="17"/>
      <c r="BG398" s="17"/>
      <c r="BH398" s="17"/>
      <c r="BI398" s="17"/>
      <c r="BJ398" s="17"/>
      <c r="BK398" s="17"/>
      <c r="BL398" s="17"/>
      <c r="BM398" s="17"/>
      <c r="BN398" s="17"/>
      <c r="BO398" s="17"/>
      <c r="BP398" s="17"/>
      <c r="BQ398" s="17"/>
      <c r="BR398" s="17"/>
      <c r="BS398" s="17"/>
      <c r="BT398" s="17"/>
      <c r="BU398" s="17"/>
      <c r="BV398" s="17"/>
      <c r="BW398" s="17"/>
      <c r="BX398" s="17"/>
      <c r="BY398" s="17"/>
      <c r="BZ398" s="17"/>
      <c r="CA398" s="17"/>
      <c r="CB398" s="17"/>
      <c r="CC398" s="17"/>
      <c r="CD398" s="17"/>
      <c r="CE398" s="17"/>
      <c r="CF398" s="17"/>
      <c r="CG398" s="17"/>
      <c r="CH398" s="17"/>
      <c r="CI398" s="17"/>
      <c r="CJ398" s="17"/>
      <c r="CK398" s="17"/>
      <c r="CL398" s="17"/>
      <c r="CM398" s="17"/>
      <c r="CN398" s="17"/>
      <c r="CO398" s="17"/>
      <c r="CP398" s="17"/>
      <c r="CQ398" s="17"/>
      <c r="CR398" s="17"/>
      <c r="CS398" s="17"/>
      <c r="CT398" s="17"/>
      <c r="CU398" s="17"/>
      <c r="CV398" s="17"/>
      <c r="CW398" s="17"/>
      <c r="CX398" s="17"/>
      <c r="CY398" s="17"/>
      <c r="CZ398" s="17"/>
      <c r="DA398" s="17"/>
      <c r="DB398" s="17"/>
      <c r="DC398" s="17"/>
      <c r="DD398" s="17"/>
      <c r="DE398" s="17"/>
      <c r="DF398" s="17"/>
      <c r="DG398" s="17"/>
      <c r="DH398" s="17"/>
      <c r="DI398" s="17"/>
      <c r="DJ398" s="17"/>
      <c r="DK398" s="17"/>
      <c r="DL398" s="17"/>
      <c r="DM398" s="17"/>
      <c r="DN398" s="17"/>
      <c r="DO398" s="17"/>
      <c r="DP398" s="17"/>
      <c r="DQ398" s="17"/>
      <c r="DR398" s="17"/>
      <c r="DS398" s="17"/>
      <c r="DT398" s="17"/>
      <c r="DU398" s="17"/>
      <c r="DV398" s="17"/>
      <c r="DW398" s="17"/>
      <c r="DX398" s="17"/>
      <c r="DY398" s="17"/>
      <c r="DZ398" s="17"/>
      <c r="EA398" s="17"/>
      <c r="EB398" s="17"/>
      <c r="EC398" s="17"/>
    </row>
    <row r="399" spans="1:133" x14ac:dyDescent="0.25">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c r="BD399" s="17"/>
      <c r="BE399" s="17"/>
      <c r="BF399" s="17"/>
      <c r="BG399" s="17"/>
      <c r="BH399" s="17"/>
      <c r="BI399" s="17"/>
      <c r="BJ399" s="17"/>
      <c r="BK399" s="17"/>
      <c r="BL399" s="17"/>
      <c r="BM399" s="17"/>
      <c r="BN399" s="17"/>
      <c r="BO399" s="17"/>
      <c r="BP399" s="17"/>
      <c r="BQ399" s="17"/>
      <c r="BR399" s="17"/>
      <c r="BS399" s="17"/>
      <c r="BT399" s="17"/>
      <c r="BU399" s="17"/>
      <c r="BV399" s="17"/>
      <c r="BW399" s="17"/>
      <c r="BX399" s="17"/>
      <c r="BY399" s="17"/>
      <c r="BZ399" s="17"/>
      <c r="CA399" s="17"/>
      <c r="CB399" s="17"/>
      <c r="CC399" s="17"/>
      <c r="CD399" s="17"/>
      <c r="CE399" s="17"/>
      <c r="CF399" s="17"/>
      <c r="CG399" s="17"/>
      <c r="CH399" s="17"/>
      <c r="CI399" s="17"/>
      <c r="CJ399" s="17"/>
      <c r="CK399" s="17"/>
      <c r="CL399" s="17"/>
      <c r="CM399" s="17"/>
      <c r="CN399" s="17"/>
      <c r="CO399" s="17"/>
      <c r="CP399" s="17"/>
      <c r="CQ399" s="17"/>
      <c r="CR399" s="17"/>
      <c r="CS399" s="17"/>
      <c r="CT399" s="17"/>
      <c r="CU399" s="17"/>
      <c r="CV399" s="17"/>
      <c r="CW399" s="17"/>
      <c r="CX399" s="17"/>
      <c r="CY399" s="17"/>
      <c r="CZ399" s="17"/>
      <c r="DA399" s="17"/>
      <c r="DB399" s="17"/>
      <c r="DC399" s="17"/>
      <c r="DD399" s="17"/>
      <c r="DE399" s="17"/>
      <c r="DF399" s="17"/>
      <c r="DG399" s="17"/>
      <c r="DH399" s="17"/>
      <c r="DI399" s="17"/>
      <c r="DJ399" s="17"/>
      <c r="DK399" s="17"/>
      <c r="DL399" s="17"/>
      <c r="DM399" s="17"/>
      <c r="DN399" s="17"/>
      <c r="DO399" s="17"/>
      <c r="DP399" s="17"/>
      <c r="DQ399" s="17"/>
      <c r="DR399" s="17"/>
      <c r="DS399" s="17"/>
      <c r="DT399" s="17"/>
      <c r="DU399" s="17"/>
      <c r="DV399" s="17"/>
      <c r="DW399" s="17"/>
      <c r="DX399" s="17"/>
      <c r="DY399" s="17"/>
      <c r="DZ399" s="17"/>
      <c r="EA399" s="17"/>
      <c r="EB399" s="17"/>
      <c r="EC399" s="17"/>
    </row>
    <row r="400" spans="1:133" x14ac:dyDescent="0.25">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7"/>
      <c r="BD400" s="17"/>
      <c r="BE400" s="17"/>
      <c r="BF400" s="17"/>
      <c r="BG400" s="17"/>
      <c r="BH400" s="17"/>
      <c r="BI400" s="17"/>
      <c r="BJ400" s="17"/>
      <c r="BK400" s="17"/>
      <c r="BL400" s="17"/>
      <c r="BM400" s="17"/>
      <c r="BN400" s="17"/>
      <c r="BO400" s="17"/>
      <c r="BP400" s="17"/>
      <c r="BQ400" s="17"/>
      <c r="BR400" s="17"/>
      <c r="BS400" s="17"/>
      <c r="BT400" s="17"/>
      <c r="BU400" s="17"/>
      <c r="BV400" s="17"/>
      <c r="BW400" s="17"/>
      <c r="BX400" s="17"/>
      <c r="BY400" s="17"/>
      <c r="BZ400" s="17"/>
      <c r="CA400" s="17"/>
      <c r="CB400" s="17"/>
      <c r="CC400" s="17"/>
      <c r="CD400" s="17"/>
      <c r="CE400" s="17"/>
      <c r="CF400" s="17"/>
      <c r="CG400" s="17"/>
      <c r="CH400" s="17"/>
      <c r="CI400" s="17"/>
      <c r="CJ400" s="17"/>
      <c r="CK400" s="17"/>
      <c r="CL400" s="17"/>
      <c r="CM400" s="17"/>
      <c r="CN400" s="17"/>
      <c r="CO400" s="17"/>
      <c r="CP400" s="17"/>
      <c r="CQ400" s="17"/>
      <c r="CR400" s="17"/>
      <c r="CS400" s="17"/>
      <c r="CT400" s="17"/>
      <c r="CU400" s="17"/>
      <c r="CV400" s="17"/>
      <c r="CW400" s="17"/>
      <c r="CX400" s="17"/>
      <c r="CY400" s="17"/>
      <c r="CZ400" s="17"/>
      <c r="DA400" s="17"/>
      <c r="DB400" s="17"/>
      <c r="DC400" s="17"/>
      <c r="DD400" s="17"/>
      <c r="DE400" s="17"/>
      <c r="DF400" s="17"/>
      <c r="DG400" s="17"/>
      <c r="DH400" s="17"/>
      <c r="DI400" s="17"/>
      <c r="DJ400" s="17"/>
      <c r="DK400" s="17"/>
      <c r="DL400" s="17"/>
      <c r="DM400" s="17"/>
      <c r="DN400" s="17"/>
      <c r="DO400" s="17"/>
      <c r="DP400" s="17"/>
      <c r="DQ400" s="17"/>
      <c r="DR400" s="17"/>
      <c r="DS400" s="17"/>
      <c r="DT400" s="17"/>
      <c r="DU400" s="17"/>
      <c r="DV400" s="17"/>
      <c r="DW400" s="17"/>
      <c r="DX400" s="17"/>
      <c r="DY400" s="17"/>
      <c r="DZ400" s="17"/>
      <c r="EA400" s="17"/>
      <c r="EB400" s="17"/>
      <c r="EC400" s="17"/>
    </row>
    <row r="401" spans="1:133" x14ac:dyDescent="0.25">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7"/>
      <c r="BD401" s="17"/>
      <c r="BE401" s="17"/>
      <c r="BF401" s="17"/>
      <c r="BG401" s="17"/>
      <c r="BH401" s="17"/>
      <c r="BI401" s="17"/>
      <c r="BJ401" s="17"/>
      <c r="BK401" s="17"/>
      <c r="BL401" s="17"/>
      <c r="BM401" s="17"/>
      <c r="BN401" s="17"/>
      <c r="BO401" s="17"/>
      <c r="BP401" s="17"/>
      <c r="BQ401" s="17"/>
      <c r="BR401" s="17"/>
      <c r="BS401" s="17"/>
      <c r="BT401" s="17"/>
      <c r="BU401" s="17"/>
      <c r="BV401" s="17"/>
      <c r="BW401" s="17"/>
      <c r="BX401" s="17"/>
      <c r="BY401" s="17"/>
      <c r="BZ401" s="17"/>
      <c r="CA401" s="17"/>
      <c r="CB401" s="17"/>
      <c r="CC401" s="17"/>
      <c r="CD401" s="17"/>
      <c r="CE401" s="17"/>
      <c r="CF401" s="17"/>
      <c r="CG401" s="17"/>
      <c r="CH401" s="17"/>
      <c r="CI401" s="17"/>
      <c r="CJ401" s="17"/>
      <c r="CK401" s="17"/>
      <c r="CL401" s="17"/>
      <c r="CM401" s="17"/>
      <c r="CN401" s="17"/>
      <c r="CO401" s="17"/>
      <c r="CP401" s="17"/>
      <c r="CQ401" s="17"/>
      <c r="CR401" s="17"/>
      <c r="CS401" s="17"/>
      <c r="CT401" s="17"/>
      <c r="CU401" s="17"/>
      <c r="CV401" s="17"/>
      <c r="CW401" s="17"/>
      <c r="CX401" s="17"/>
      <c r="CY401" s="17"/>
      <c r="CZ401" s="17"/>
      <c r="DA401" s="17"/>
      <c r="DB401" s="17"/>
      <c r="DC401" s="17"/>
      <c r="DD401" s="17"/>
      <c r="DE401" s="17"/>
      <c r="DF401" s="17"/>
      <c r="DG401" s="17"/>
      <c r="DH401" s="17"/>
      <c r="DI401" s="17"/>
      <c r="DJ401" s="17"/>
      <c r="DK401" s="17"/>
      <c r="DL401" s="17"/>
      <c r="DM401" s="17"/>
      <c r="DN401" s="17"/>
      <c r="DO401" s="17"/>
      <c r="DP401" s="17"/>
      <c r="DQ401" s="17"/>
      <c r="DR401" s="17"/>
      <c r="DS401" s="17"/>
      <c r="DT401" s="17"/>
      <c r="DU401" s="17"/>
      <c r="DV401" s="17"/>
      <c r="DW401" s="17"/>
      <c r="DX401" s="17"/>
      <c r="DY401" s="17"/>
      <c r="DZ401" s="17"/>
      <c r="EA401" s="17"/>
      <c r="EB401" s="17"/>
      <c r="EC401" s="17"/>
    </row>
    <row r="402" spans="1:133" x14ac:dyDescent="0.25">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7"/>
      <c r="BD402" s="17"/>
      <c r="BE402" s="17"/>
      <c r="BF402" s="17"/>
      <c r="BG402" s="17"/>
      <c r="BH402" s="17"/>
      <c r="BI402" s="17"/>
      <c r="BJ402" s="17"/>
      <c r="BK402" s="17"/>
      <c r="BL402" s="17"/>
      <c r="BM402" s="17"/>
      <c r="BN402" s="17"/>
      <c r="BO402" s="17"/>
      <c r="BP402" s="17"/>
      <c r="BQ402" s="17"/>
      <c r="BR402" s="17"/>
      <c r="BS402" s="17"/>
      <c r="BT402" s="17"/>
      <c r="BU402" s="17"/>
      <c r="BV402" s="17"/>
      <c r="BW402" s="17"/>
      <c r="BX402" s="17"/>
      <c r="BY402" s="17"/>
      <c r="BZ402" s="17"/>
      <c r="CA402" s="17"/>
      <c r="CB402" s="17"/>
      <c r="CC402" s="17"/>
      <c r="CD402" s="17"/>
      <c r="CE402" s="17"/>
      <c r="CF402" s="17"/>
      <c r="CG402" s="17"/>
      <c r="CH402" s="17"/>
      <c r="CI402" s="17"/>
      <c r="CJ402" s="17"/>
      <c r="CK402" s="17"/>
      <c r="CL402" s="17"/>
      <c r="CM402" s="17"/>
      <c r="CN402" s="17"/>
      <c r="CO402" s="17"/>
      <c r="CP402" s="17"/>
      <c r="CQ402" s="17"/>
      <c r="CR402" s="17"/>
      <c r="CS402" s="17"/>
      <c r="CT402" s="17"/>
      <c r="CU402" s="17"/>
      <c r="CV402" s="17"/>
      <c r="CW402" s="17"/>
      <c r="CX402" s="17"/>
      <c r="CY402" s="17"/>
      <c r="CZ402" s="17"/>
      <c r="DA402" s="17"/>
      <c r="DB402" s="17"/>
      <c r="DC402" s="17"/>
      <c r="DD402" s="17"/>
      <c r="DE402" s="17"/>
      <c r="DF402" s="17"/>
      <c r="DG402" s="17"/>
      <c r="DH402" s="17"/>
      <c r="DI402" s="17"/>
      <c r="DJ402" s="17"/>
      <c r="DK402" s="17"/>
      <c r="DL402" s="17"/>
      <c r="DM402" s="17"/>
      <c r="DN402" s="17"/>
      <c r="DO402" s="17"/>
      <c r="DP402" s="17"/>
      <c r="DQ402" s="17"/>
      <c r="DR402" s="17"/>
      <c r="DS402" s="17"/>
      <c r="DT402" s="17"/>
      <c r="DU402" s="17"/>
      <c r="DV402" s="17"/>
      <c r="DW402" s="17"/>
      <c r="DX402" s="17"/>
      <c r="DY402" s="17"/>
      <c r="DZ402" s="17"/>
      <c r="EA402" s="17"/>
      <c r="EB402" s="17"/>
      <c r="EC402" s="17"/>
    </row>
    <row r="403" spans="1:133" x14ac:dyDescent="0.25">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7"/>
      <c r="BD403" s="17"/>
      <c r="BE403" s="17"/>
      <c r="BF403" s="17"/>
      <c r="BG403" s="17"/>
      <c r="BH403" s="17"/>
      <c r="BI403" s="17"/>
      <c r="BJ403" s="17"/>
      <c r="BK403" s="17"/>
      <c r="BL403" s="17"/>
      <c r="BM403" s="17"/>
      <c r="BN403" s="17"/>
      <c r="BO403" s="17"/>
      <c r="BP403" s="17"/>
      <c r="BQ403" s="17"/>
      <c r="BR403" s="17"/>
      <c r="BS403" s="17"/>
      <c r="BT403" s="17"/>
      <c r="BU403" s="17"/>
      <c r="BV403" s="17"/>
      <c r="BW403" s="17"/>
      <c r="BX403" s="17"/>
      <c r="BY403" s="17"/>
      <c r="BZ403" s="17"/>
      <c r="CA403" s="17"/>
      <c r="CB403" s="17"/>
      <c r="CC403" s="17"/>
      <c r="CD403" s="17"/>
      <c r="CE403" s="17"/>
      <c r="CF403" s="17"/>
      <c r="CG403" s="17"/>
      <c r="CH403" s="17"/>
      <c r="CI403" s="17"/>
      <c r="CJ403" s="17"/>
      <c r="CK403" s="17"/>
      <c r="CL403" s="17"/>
      <c r="CM403" s="17"/>
      <c r="CN403" s="17"/>
      <c r="CO403" s="17"/>
      <c r="CP403" s="17"/>
      <c r="CQ403" s="17"/>
      <c r="CR403" s="17"/>
      <c r="CS403" s="17"/>
      <c r="CT403" s="17"/>
      <c r="CU403" s="17"/>
      <c r="CV403" s="17"/>
      <c r="CW403" s="17"/>
      <c r="CX403" s="17"/>
      <c r="CY403" s="17"/>
      <c r="CZ403" s="17"/>
      <c r="DA403" s="17"/>
      <c r="DB403" s="17"/>
      <c r="DC403" s="17"/>
      <c r="DD403" s="17"/>
      <c r="DE403" s="17"/>
      <c r="DF403" s="17"/>
      <c r="DG403" s="17"/>
      <c r="DH403" s="17"/>
      <c r="DI403" s="17"/>
      <c r="DJ403" s="17"/>
      <c r="DK403" s="17"/>
      <c r="DL403" s="17"/>
      <c r="DM403" s="17"/>
      <c r="DN403" s="17"/>
      <c r="DO403" s="17"/>
      <c r="DP403" s="17"/>
      <c r="DQ403" s="17"/>
      <c r="DR403" s="17"/>
      <c r="DS403" s="17"/>
      <c r="DT403" s="17"/>
      <c r="DU403" s="17"/>
      <c r="DV403" s="17"/>
      <c r="DW403" s="17"/>
      <c r="DX403" s="17"/>
      <c r="DY403" s="17"/>
      <c r="DZ403" s="17"/>
      <c r="EA403" s="17"/>
      <c r="EB403" s="17"/>
      <c r="EC403" s="17"/>
    </row>
    <row r="404" spans="1:133" x14ac:dyDescent="0.25">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7"/>
      <c r="BD404" s="17"/>
      <c r="BE404" s="17"/>
      <c r="BF404" s="17"/>
      <c r="BG404" s="17"/>
      <c r="BH404" s="17"/>
      <c r="BI404" s="17"/>
      <c r="BJ404" s="17"/>
      <c r="BK404" s="17"/>
      <c r="BL404" s="17"/>
      <c r="BM404" s="17"/>
      <c r="BN404" s="17"/>
      <c r="BO404" s="17"/>
      <c r="BP404" s="17"/>
      <c r="BQ404" s="17"/>
      <c r="BR404" s="17"/>
      <c r="BS404" s="17"/>
      <c r="BT404" s="17"/>
      <c r="BU404" s="17"/>
      <c r="BV404" s="17"/>
      <c r="BW404" s="17"/>
      <c r="BX404" s="17"/>
      <c r="BY404" s="17"/>
      <c r="BZ404" s="17"/>
      <c r="CA404" s="17"/>
      <c r="CB404" s="17"/>
      <c r="CC404" s="17"/>
      <c r="CD404" s="17"/>
      <c r="CE404" s="17"/>
      <c r="CF404" s="17"/>
      <c r="CG404" s="17"/>
      <c r="CH404" s="17"/>
      <c r="CI404" s="17"/>
      <c r="CJ404" s="17"/>
      <c r="CK404" s="17"/>
      <c r="CL404" s="17"/>
      <c r="CM404" s="17"/>
      <c r="CN404" s="17"/>
      <c r="CO404" s="17"/>
      <c r="CP404" s="17"/>
      <c r="CQ404" s="17"/>
      <c r="CR404" s="17"/>
      <c r="CS404" s="17"/>
      <c r="CT404" s="17"/>
      <c r="CU404" s="17"/>
      <c r="CV404" s="17"/>
      <c r="CW404" s="17"/>
      <c r="CX404" s="17"/>
      <c r="CY404" s="17"/>
      <c r="CZ404" s="17"/>
      <c r="DA404" s="17"/>
      <c r="DB404" s="17"/>
      <c r="DC404" s="17"/>
      <c r="DD404" s="17"/>
      <c r="DE404" s="17"/>
      <c r="DF404" s="17"/>
      <c r="DG404" s="17"/>
      <c r="DH404" s="17"/>
      <c r="DI404" s="17"/>
      <c r="DJ404" s="17"/>
      <c r="DK404" s="17"/>
      <c r="DL404" s="17"/>
      <c r="DM404" s="17"/>
      <c r="DN404" s="17"/>
      <c r="DO404" s="17"/>
      <c r="DP404" s="17"/>
      <c r="DQ404" s="17"/>
      <c r="DR404" s="17"/>
      <c r="DS404" s="17"/>
      <c r="DT404" s="17"/>
      <c r="DU404" s="17"/>
      <c r="DV404" s="17"/>
      <c r="DW404" s="17"/>
      <c r="DX404" s="17"/>
      <c r="DY404" s="17"/>
      <c r="DZ404" s="17"/>
      <c r="EA404" s="17"/>
      <c r="EB404" s="17"/>
      <c r="EC404" s="17"/>
    </row>
    <row r="405" spans="1:133" x14ac:dyDescent="0.2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7"/>
      <c r="BD405" s="17"/>
      <c r="BE405" s="17"/>
      <c r="BF405" s="17"/>
      <c r="BG405" s="17"/>
      <c r="BH405" s="17"/>
      <c r="BI405" s="17"/>
      <c r="BJ405" s="17"/>
      <c r="BK405" s="17"/>
      <c r="BL405" s="17"/>
      <c r="BM405" s="17"/>
      <c r="BN405" s="17"/>
      <c r="BO405" s="17"/>
      <c r="BP405" s="17"/>
      <c r="BQ405" s="17"/>
      <c r="BR405" s="17"/>
      <c r="BS405" s="17"/>
      <c r="BT405" s="17"/>
      <c r="BU405" s="17"/>
      <c r="BV405" s="17"/>
      <c r="BW405" s="17"/>
      <c r="BX405" s="17"/>
      <c r="BY405" s="17"/>
      <c r="BZ405" s="17"/>
      <c r="CA405" s="17"/>
      <c r="CB405" s="17"/>
      <c r="CC405" s="17"/>
      <c r="CD405" s="17"/>
      <c r="CE405" s="17"/>
      <c r="CF405" s="17"/>
      <c r="CG405" s="17"/>
      <c r="CH405" s="17"/>
      <c r="CI405" s="17"/>
      <c r="CJ405" s="17"/>
      <c r="CK405" s="17"/>
      <c r="CL405" s="17"/>
      <c r="CM405" s="17"/>
      <c r="CN405" s="17"/>
      <c r="CO405" s="17"/>
      <c r="CP405" s="17"/>
      <c r="CQ405" s="17"/>
      <c r="CR405" s="17"/>
      <c r="CS405" s="17"/>
      <c r="CT405" s="17"/>
      <c r="CU405" s="17"/>
      <c r="CV405" s="17"/>
      <c r="CW405" s="17"/>
      <c r="CX405" s="17"/>
      <c r="CY405" s="17"/>
      <c r="CZ405" s="17"/>
      <c r="DA405" s="17"/>
      <c r="DB405" s="17"/>
      <c r="DC405" s="17"/>
      <c r="DD405" s="17"/>
      <c r="DE405" s="17"/>
      <c r="DF405" s="17"/>
      <c r="DG405" s="17"/>
      <c r="DH405" s="17"/>
      <c r="DI405" s="17"/>
      <c r="DJ405" s="17"/>
      <c r="DK405" s="17"/>
      <c r="DL405" s="17"/>
      <c r="DM405" s="17"/>
      <c r="DN405" s="17"/>
      <c r="DO405" s="17"/>
      <c r="DP405" s="17"/>
      <c r="DQ405" s="17"/>
      <c r="DR405" s="17"/>
      <c r="DS405" s="17"/>
      <c r="DT405" s="17"/>
      <c r="DU405" s="17"/>
      <c r="DV405" s="17"/>
      <c r="DW405" s="17"/>
      <c r="DX405" s="17"/>
      <c r="DY405" s="17"/>
      <c r="DZ405" s="17"/>
      <c r="EA405" s="17"/>
      <c r="EB405" s="17"/>
      <c r="EC405" s="17"/>
    </row>
    <row r="406" spans="1:133" x14ac:dyDescent="0.25">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c r="BD406" s="17"/>
      <c r="BE406" s="17"/>
      <c r="BF406" s="17"/>
      <c r="BG406" s="17"/>
      <c r="BH406" s="17"/>
      <c r="BI406" s="17"/>
      <c r="BJ406" s="17"/>
      <c r="BK406" s="17"/>
      <c r="BL406" s="17"/>
      <c r="BM406" s="17"/>
      <c r="BN406" s="17"/>
      <c r="BO406" s="17"/>
      <c r="BP406" s="17"/>
      <c r="BQ406" s="17"/>
      <c r="BR406" s="17"/>
      <c r="BS406" s="17"/>
      <c r="BT406" s="17"/>
      <c r="BU406" s="17"/>
      <c r="BV406" s="17"/>
      <c r="BW406" s="17"/>
      <c r="BX406" s="17"/>
      <c r="BY406" s="17"/>
      <c r="BZ406" s="17"/>
      <c r="CA406" s="17"/>
      <c r="CB406" s="17"/>
      <c r="CC406" s="17"/>
      <c r="CD406" s="17"/>
      <c r="CE406" s="17"/>
      <c r="CF406" s="17"/>
      <c r="CG406" s="17"/>
      <c r="CH406" s="17"/>
      <c r="CI406" s="17"/>
      <c r="CJ406" s="17"/>
      <c r="CK406" s="17"/>
      <c r="CL406" s="17"/>
      <c r="CM406" s="17"/>
      <c r="CN406" s="17"/>
      <c r="CO406" s="17"/>
      <c r="CP406" s="17"/>
      <c r="CQ406" s="17"/>
      <c r="CR406" s="17"/>
      <c r="CS406" s="17"/>
      <c r="CT406" s="17"/>
      <c r="CU406" s="17"/>
      <c r="CV406" s="17"/>
      <c r="CW406" s="17"/>
      <c r="CX406" s="17"/>
      <c r="CY406" s="17"/>
      <c r="CZ406" s="17"/>
      <c r="DA406" s="17"/>
      <c r="DB406" s="17"/>
      <c r="DC406" s="17"/>
      <c r="DD406" s="17"/>
      <c r="DE406" s="17"/>
      <c r="DF406" s="17"/>
      <c r="DG406" s="17"/>
      <c r="DH406" s="17"/>
      <c r="DI406" s="17"/>
      <c r="DJ406" s="17"/>
      <c r="DK406" s="17"/>
      <c r="DL406" s="17"/>
      <c r="DM406" s="17"/>
      <c r="DN406" s="17"/>
      <c r="DO406" s="17"/>
      <c r="DP406" s="17"/>
      <c r="DQ406" s="17"/>
      <c r="DR406" s="17"/>
      <c r="DS406" s="17"/>
      <c r="DT406" s="17"/>
      <c r="DU406" s="17"/>
      <c r="DV406" s="17"/>
      <c r="DW406" s="17"/>
      <c r="DX406" s="17"/>
      <c r="DY406" s="17"/>
      <c r="DZ406" s="17"/>
      <c r="EA406" s="17"/>
      <c r="EB406" s="17"/>
      <c r="EC406" s="17"/>
    </row>
    <row r="407" spans="1:133" x14ac:dyDescent="0.25">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c r="BD407" s="17"/>
      <c r="BE407" s="17"/>
      <c r="BF407" s="17"/>
      <c r="BG407" s="17"/>
      <c r="BH407" s="17"/>
      <c r="BI407" s="17"/>
      <c r="BJ407" s="17"/>
      <c r="BK407" s="17"/>
      <c r="BL407" s="17"/>
      <c r="BM407" s="17"/>
      <c r="BN407" s="17"/>
      <c r="BO407" s="17"/>
      <c r="BP407" s="17"/>
      <c r="BQ407" s="17"/>
      <c r="BR407" s="17"/>
      <c r="BS407" s="17"/>
      <c r="BT407" s="17"/>
      <c r="BU407" s="17"/>
      <c r="BV407" s="17"/>
      <c r="BW407" s="17"/>
      <c r="BX407" s="17"/>
      <c r="BY407" s="17"/>
      <c r="BZ407" s="17"/>
      <c r="CA407" s="17"/>
      <c r="CB407" s="17"/>
      <c r="CC407" s="17"/>
      <c r="CD407" s="17"/>
      <c r="CE407" s="17"/>
      <c r="CF407" s="17"/>
      <c r="CG407" s="17"/>
      <c r="CH407" s="17"/>
      <c r="CI407" s="17"/>
      <c r="CJ407" s="17"/>
      <c r="CK407" s="17"/>
      <c r="CL407" s="17"/>
      <c r="CM407" s="17"/>
      <c r="CN407" s="17"/>
      <c r="CO407" s="17"/>
      <c r="CP407" s="17"/>
      <c r="CQ407" s="17"/>
      <c r="CR407" s="17"/>
      <c r="CS407" s="17"/>
      <c r="CT407" s="17"/>
      <c r="CU407" s="17"/>
      <c r="CV407" s="17"/>
      <c r="CW407" s="17"/>
      <c r="CX407" s="17"/>
      <c r="CY407" s="17"/>
      <c r="CZ407" s="17"/>
      <c r="DA407" s="17"/>
      <c r="DB407" s="17"/>
      <c r="DC407" s="17"/>
      <c r="DD407" s="17"/>
      <c r="DE407" s="17"/>
      <c r="DF407" s="17"/>
      <c r="DG407" s="17"/>
      <c r="DH407" s="17"/>
      <c r="DI407" s="17"/>
      <c r="DJ407" s="17"/>
      <c r="DK407" s="17"/>
      <c r="DL407" s="17"/>
      <c r="DM407" s="17"/>
      <c r="DN407" s="17"/>
      <c r="DO407" s="17"/>
      <c r="DP407" s="17"/>
      <c r="DQ407" s="17"/>
      <c r="DR407" s="17"/>
      <c r="DS407" s="17"/>
      <c r="DT407" s="17"/>
      <c r="DU407" s="17"/>
      <c r="DV407" s="17"/>
      <c r="DW407" s="17"/>
      <c r="DX407" s="17"/>
      <c r="DY407" s="17"/>
      <c r="DZ407" s="17"/>
      <c r="EA407" s="17"/>
      <c r="EB407" s="17"/>
      <c r="EC407" s="17"/>
    </row>
    <row r="408" spans="1:133" x14ac:dyDescent="0.25">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c r="BD408" s="17"/>
      <c r="BE408" s="17"/>
      <c r="BF408" s="17"/>
      <c r="BG408" s="17"/>
      <c r="BH408" s="17"/>
      <c r="BI408" s="17"/>
      <c r="BJ408" s="17"/>
      <c r="BK408" s="17"/>
      <c r="BL408" s="17"/>
      <c r="BM408" s="17"/>
      <c r="BN408" s="17"/>
      <c r="BO408" s="17"/>
      <c r="BP408" s="17"/>
      <c r="BQ408" s="17"/>
      <c r="BR408" s="17"/>
      <c r="BS408" s="17"/>
      <c r="BT408" s="17"/>
      <c r="BU408" s="17"/>
      <c r="BV408" s="17"/>
      <c r="BW408" s="17"/>
      <c r="BX408" s="17"/>
      <c r="BY408" s="17"/>
      <c r="BZ408" s="17"/>
      <c r="CA408" s="17"/>
      <c r="CB408" s="17"/>
      <c r="CC408" s="17"/>
      <c r="CD408" s="17"/>
      <c r="CE408" s="17"/>
      <c r="CF408" s="17"/>
      <c r="CG408" s="17"/>
      <c r="CH408" s="17"/>
      <c r="CI408" s="17"/>
      <c r="CJ408" s="17"/>
      <c r="CK408" s="17"/>
      <c r="CL408" s="17"/>
      <c r="CM408" s="17"/>
      <c r="CN408" s="17"/>
      <c r="CO408" s="17"/>
      <c r="CP408" s="17"/>
      <c r="CQ408" s="17"/>
      <c r="CR408" s="17"/>
      <c r="CS408" s="17"/>
      <c r="CT408" s="17"/>
      <c r="CU408" s="17"/>
      <c r="CV408" s="17"/>
      <c r="CW408" s="17"/>
      <c r="CX408" s="17"/>
      <c r="CY408" s="17"/>
      <c r="CZ408" s="17"/>
      <c r="DA408" s="17"/>
      <c r="DB408" s="17"/>
      <c r="DC408" s="17"/>
      <c r="DD408" s="17"/>
      <c r="DE408" s="17"/>
      <c r="DF408" s="17"/>
      <c r="DG408" s="17"/>
      <c r="DH408" s="17"/>
      <c r="DI408" s="17"/>
      <c r="DJ408" s="17"/>
      <c r="DK408" s="17"/>
      <c r="DL408" s="17"/>
      <c r="DM408" s="17"/>
      <c r="DN408" s="17"/>
      <c r="DO408" s="17"/>
      <c r="DP408" s="17"/>
      <c r="DQ408" s="17"/>
      <c r="DR408" s="17"/>
      <c r="DS408" s="17"/>
      <c r="DT408" s="17"/>
      <c r="DU408" s="17"/>
      <c r="DV408" s="17"/>
      <c r="DW408" s="17"/>
      <c r="DX408" s="17"/>
      <c r="DY408" s="17"/>
      <c r="DZ408" s="17"/>
      <c r="EA408" s="17"/>
      <c r="EB408" s="17"/>
      <c r="EC408" s="17"/>
    </row>
    <row r="409" spans="1:133" x14ac:dyDescent="0.25">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c r="BD409" s="17"/>
      <c r="BE409" s="17"/>
      <c r="BF409" s="17"/>
      <c r="BG409" s="17"/>
      <c r="BH409" s="17"/>
      <c r="BI409" s="17"/>
      <c r="BJ409" s="17"/>
      <c r="BK409" s="17"/>
      <c r="BL409" s="17"/>
      <c r="BM409" s="17"/>
      <c r="BN409" s="17"/>
      <c r="BO409" s="17"/>
      <c r="BP409" s="17"/>
      <c r="BQ409" s="17"/>
      <c r="BR409" s="17"/>
      <c r="BS409" s="17"/>
      <c r="BT409" s="17"/>
      <c r="BU409" s="17"/>
      <c r="BV409" s="17"/>
      <c r="BW409" s="17"/>
      <c r="BX409" s="17"/>
      <c r="BY409" s="17"/>
      <c r="BZ409" s="17"/>
      <c r="CA409" s="17"/>
      <c r="CB409" s="17"/>
      <c r="CC409" s="17"/>
      <c r="CD409" s="17"/>
      <c r="CE409" s="17"/>
      <c r="CF409" s="17"/>
      <c r="CG409" s="17"/>
      <c r="CH409" s="17"/>
      <c r="CI409" s="17"/>
      <c r="CJ409" s="17"/>
      <c r="CK409" s="17"/>
      <c r="CL409" s="17"/>
      <c r="CM409" s="17"/>
      <c r="CN409" s="17"/>
      <c r="CO409" s="17"/>
      <c r="CP409" s="17"/>
      <c r="CQ409" s="17"/>
      <c r="CR409" s="17"/>
      <c r="CS409" s="17"/>
      <c r="CT409" s="17"/>
      <c r="CU409" s="17"/>
      <c r="CV409" s="17"/>
      <c r="CW409" s="17"/>
      <c r="CX409" s="17"/>
      <c r="CY409" s="17"/>
      <c r="CZ409" s="17"/>
      <c r="DA409" s="17"/>
      <c r="DB409" s="17"/>
      <c r="DC409" s="17"/>
      <c r="DD409" s="17"/>
      <c r="DE409" s="17"/>
      <c r="DF409" s="17"/>
      <c r="DG409" s="17"/>
      <c r="DH409" s="17"/>
      <c r="DI409" s="17"/>
      <c r="DJ409" s="17"/>
      <c r="DK409" s="17"/>
      <c r="DL409" s="17"/>
      <c r="DM409" s="17"/>
      <c r="DN409" s="17"/>
      <c r="DO409" s="17"/>
      <c r="DP409" s="17"/>
      <c r="DQ409" s="17"/>
      <c r="DR409" s="17"/>
      <c r="DS409" s="17"/>
      <c r="DT409" s="17"/>
      <c r="DU409" s="17"/>
      <c r="DV409" s="17"/>
      <c r="DW409" s="17"/>
      <c r="DX409" s="17"/>
      <c r="DY409" s="17"/>
      <c r="DZ409" s="17"/>
      <c r="EA409" s="17"/>
      <c r="EB409" s="17"/>
      <c r="EC409" s="17"/>
    </row>
    <row r="410" spans="1:133" x14ac:dyDescent="0.25">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c r="BD410" s="17"/>
      <c r="BE410" s="17"/>
      <c r="BF410" s="17"/>
      <c r="BG410" s="17"/>
      <c r="BH410" s="17"/>
      <c r="BI410" s="17"/>
      <c r="BJ410" s="17"/>
      <c r="BK410" s="17"/>
      <c r="BL410" s="17"/>
      <c r="BM410" s="17"/>
      <c r="BN410" s="17"/>
      <c r="BO410" s="17"/>
      <c r="BP410" s="17"/>
      <c r="BQ410" s="17"/>
      <c r="BR410" s="17"/>
      <c r="BS410" s="17"/>
      <c r="BT410" s="17"/>
      <c r="BU410" s="17"/>
      <c r="BV410" s="17"/>
      <c r="BW410" s="17"/>
      <c r="BX410" s="17"/>
      <c r="BY410" s="17"/>
      <c r="BZ410" s="17"/>
      <c r="CA410" s="17"/>
      <c r="CB410" s="17"/>
      <c r="CC410" s="17"/>
      <c r="CD410" s="17"/>
      <c r="CE410" s="17"/>
      <c r="CF410" s="17"/>
      <c r="CG410" s="17"/>
      <c r="CH410" s="17"/>
      <c r="CI410" s="17"/>
      <c r="CJ410" s="17"/>
      <c r="CK410" s="17"/>
      <c r="CL410" s="17"/>
      <c r="CM410" s="17"/>
      <c r="CN410" s="17"/>
      <c r="CO410" s="17"/>
      <c r="CP410" s="17"/>
      <c r="CQ410" s="17"/>
      <c r="CR410" s="17"/>
      <c r="CS410" s="17"/>
      <c r="CT410" s="17"/>
      <c r="CU410" s="17"/>
      <c r="CV410" s="17"/>
      <c r="CW410" s="17"/>
      <c r="CX410" s="17"/>
      <c r="CY410" s="17"/>
      <c r="CZ410" s="17"/>
      <c r="DA410" s="17"/>
      <c r="DB410" s="17"/>
      <c r="DC410" s="17"/>
      <c r="DD410" s="17"/>
      <c r="DE410" s="17"/>
      <c r="DF410" s="17"/>
      <c r="DG410" s="17"/>
      <c r="DH410" s="17"/>
      <c r="DI410" s="17"/>
      <c r="DJ410" s="17"/>
      <c r="DK410" s="17"/>
      <c r="DL410" s="17"/>
      <c r="DM410" s="17"/>
      <c r="DN410" s="17"/>
      <c r="DO410" s="17"/>
      <c r="DP410" s="17"/>
      <c r="DQ410" s="17"/>
      <c r="DR410" s="17"/>
      <c r="DS410" s="17"/>
      <c r="DT410" s="17"/>
      <c r="DU410" s="17"/>
      <c r="DV410" s="17"/>
      <c r="DW410" s="17"/>
      <c r="DX410" s="17"/>
      <c r="DY410" s="17"/>
      <c r="DZ410" s="17"/>
      <c r="EA410" s="17"/>
      <c r="EB410" s="17"/>
      <c r="EC410" s="17"/>
    </row>
    <row r="411" spans="1:133" x14ac:dyDescent="0.25">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7"/>
      <c r="BD411" s="17"/>
      <c r="BE411" s="17"/>
      <c r="BF411" s="17"/>
      <c r="BG411" s="17"/>
      <c r="BH411" s="17"/>
      <c r="BI411" s="17"/>
      <c r="BJ411" s="17"/>
      <c r="BK411" s="17"/>
      <c r="BL411" s="17"/>
      <c r="BM411" s="17"/>
      <c r="BN411" s="17"/>
      <c r="BO411" s="17"/>
      <c r="BP411" s="17"/>
      <c r="BQ411" s="17"/>
      <c r="BR411" s="17"/>
      <c r="BS411" s="17"/>
      <c r="BT411" s="17"/>
      <c r="BU411" s="17"/>
      <c r="BV411" s="17"/>
      <c r="BW411" s="17"/>
      <c r="BX411" s="17"/>
      <c r="BY411" s="17"/>
      <c r="BZ411" s="17"/>
      <c r="CA411" s="17"/>
      <c r="CB411" s="17"/>
      <c r="CC411" s="17"/>
      <c r="CD411" s="17"/>
      <c r="CE411" s="17"/>
      <c r="CF411" s="17"/>
      <c r="CG411" s="17"/>
      <c r="CH411" s="17"/>
      <c r="CI411" s="17"/>
      <c r="CJ411" s="17"/>
      <c r="CK411" s="17"/>
      <c r="CL411" s="17"/>
      <c r="CM411" s="17"/>
      <c r="CN411" s="17"/>
      <c r="CO411" s="17"/>
      <c r="CP411" s="17"/>
      <c r="CQ411" s="17"/>
      <c r="CR411" s="17"/>
      <c r="CS411" s="17"/>
      <c r="CT411" s="17"/>
      <c r="CU411" s="17"/>
      <c r="CV411" s="17"/>
      <c r="CW411" s="17"/>
      <c r="CX411" s="17"/>
      <c r="CY411" s="17"/>
      <c r="CZ411" s="17"/>
      <c r="DA411" s="17"/>
      <c r="DB411" s="17"/>
      <c r="DC411" s="17"/>
      <c r="DD411" s="17"/>
      <c r="DE411" s="17"/>
      <c r="DF411" s="17"/>
      <c r="DG411" s="17"/>
      <c r="DH411" s="17"/>
      <c r="DI411" s="17"/>
      <c r="DJ411" s="17"/>
      <c r="DK411" s="17"/>
      <c r="DL411" s="17"/>
      <c r="DM411" s="17"/>
      <c r="DN411" s="17"/>
      <c r="DO411" s="17"/>
      <c r="DP411" s="17"/>
      <c r="DQ411" s="17"/>
      <c r="DR411" s="17"/>
      <c r="DS411" s="17"/>
      <c r="DT411" s="17"/>
      <c r="DU411" s="17"/>
      <c r="DV411" s="17"/>
      <c r="DW411" s="17"/>
      <c r="DX411" s="17"/>
      <c r="DY411" s="17"/>
      <c r="DZ411" s="17"/>
      <c r="EA411" s="17"/>
      <c r="EB411" s="17"/>
      <c r="EC411" s="17"/>
    </row>
    <row r="412" spans="1:133" x14ac:dyDescent="0.25">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7"/>
      <c r="BD412" s="17"/>
      <c r="BE412" s="17"/>
      <c r="BF412" s="17"/>
      <c r="BG412" s="17"/>
      <c r="BH412" s="17"/>
      <c r="BI412" s="17"/>
      <c r="BJ412" s="17"/>
      <c r="BK412" s="17"/>
      <c r="BL412" s="17"/>
      <c r="BM412" s="17"/>
      <c r="BN412" s="17"/>
      <c r="BO412" s="17"/>
      <c r="BP412" s="17"/>
      <c r="BQ412" s="17"/>
      <c r="BR412" s="17"/>
      <c r="BS412" s="17"/>
      <c r="BT412" s="17"/>
      <c r="BU412" s="17"/>
      <c r="BV412" s="17"/>
      <c r="BW412" s="17"/>
      <c r="BX412" s="17"/>
      <c r="BY412" s="17"/>
      <c r="BZ412" s="17"/>
      <c r="CA412" s="17"/>
      <c r="CB412" s="17"/>
      <c r="CC412" s="17"/>
      <c r="CD412" s="17"/>
      <c r="CE412" s="17"/>
      <c r="CF412" s="17"/>
      <c r="CG412" s="17"/>
      <c r="CH412" s="17"/>
      <c r="CI412" s="17"/>
      <c r="CJ412" s="17"/>
      <c r="CK412" s="17"/>
      <c r="CL412" s="17"/>
      <c r="CM412" s="17"/>
      <c r="CN412" s="17"/>
      <c r="CO412" s="17"/>
      <c r="CP412" s="17"/>
      <c r="CQ412" s="17"/>
      <c r="CR412" s="17"/>
      <c r="CS412" s="17"/>
      <c r="CT412" s="17"/>
      <c r="CU412" s="17"/>
      <c r="CV412" s="17"/>
      <c r="CW412" s="17"/>
      <c r="CX412" s="17"/>
      <c r="CY412" s="17"/>
      <c r="CZ412" s="17"/>
      <c r="DA412" s="17"/>
      <c r="DB412" s="17"/>
      <c r="DC412" s="17"/>
      <c r="DD412" s="17"/>
      <c r="DE412" s="17"/>
      <c r="DF412" s="17"/>
      <c r="DG412" s="17"/>
      <c r="DH412" s="17"/>
      <c r="DI412" s="17"/>
      <c r="DJ412" s="17"/>
      <c r="DK412" s="17"/>
      <c r="DL412" s="17"/>
      <c r="DM412" s="17"/>
      <c r="DN412" s="17"/>
      <c r="DO412" s="17"/>
      <c r="DP412" s="17"/>
      <c r="DQ412" s="17"/>
      <c r="DR412" s="17"/>
      <c r="DS412" s="17"/>
      <c r="DT412" s="17"/>
      <c r="DU412" s="17"/>
      <c r="DV412" s="17"/>
      <c r="DW412" s="17"/>
      <c r="DX412" s="17"/>
      <c r="DY412" s="17"/>
      <c r="DZ412" s="17"/>
      <c r="EA412" s="17"/>
      <c r="EB412" s="17"/>
      <c r="EC412" s="17"/>
    </row>
    <row r="413" spans="1:133" x14ac:dyDescent="0.25">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7"/>
      <c r="BD413" s="17"/>
      <c r="BE413" s="17"/>
      <c r="BF413" s="17"/>
      <c r="BG413" s="17"/>
      <c r="BH413" s="17"/>
      <c r="BI413" s="17"/>
      <c r="BJ413" s="17"/>
      <c r="BK413" s="17"/>
      <c r="BL413" s="17"/>
      <c r="BM413" s="17"/>
      <c r="BN413" s="17"/>
      <c r="BO413" s="17"/>
      <c r="BP413" s="17"/>
      <c r="BQ413" s="17"/>
      <c r="BR413" s="17"/>
      <c r="BS413" s="17"/>
      <c r="BT413" s="17"/>
      <c r="BU413" s="17"/>
      <c r="BV413" s="17"/>
      <c r="BW413" s="17"/>
      <c r="BX413" s="17"/>
      <c r="BY413" s="17"/>
      <c r="BZ413" s="17"/>
      <c r="CA413" s="17"/>
      <c r="CB413" s="17"/>
      <c r="CC413" s="17"/>
      <c r="CD413" s="17"/>
      <c r="CE413" s="17"/>
      <c r="CF413" s="17"/>
      <c r="CG413" s="17"/>
      <c r="CH413" s="17"/>
      <c r="CI413" s="17"/>
      <c r="CJ413" s="17"/>
      <c r="CK413" s="17"/>
      <c r="CL413" s="17"/>
      <c r="CM413" s="17"/>
      <c r="CN413" s="17"/>
      <c r="CO413" s="17"/>
      <c r="CP413" s="17"/>
      <c r="CQ413" s="17"/>
      <c r="CR413" s="17"/>
      <c r="CS413" s="17"/>
      <c r="CT413" s="17"/>
      <c r="CU413" s="17"/>
      <c r="CV413" s="17"/>
      <c r="CW413" s="17"/>
      <c r="CX413" s="17"/>
      <c r="CY413" s="17"/>
      <c r="CZ413" s="17"/>
      <c r="DA413" s="17"/>
      <c r="DB413" s="17"/>
      <c r="DC413" s="17"/>
      <c r="DD413" s="17"/>
      <c r="DE413" s="17"/>
      <c r="DF413" s="17"/>
      <c r="DG413" s="17"/>
      <c r="DH413" s="17"/>
      <c r="DI413" s="17"/>
      <c r="DJ413" s="17"/>
      <c r="DK413" s="17"/>
      <c r="DL413" s="17"/>
      <c r="DM413" s="17"/>
      <c r="DN413" s="17"/>
      <c r="DO413" s="17"/>
      <c r="DP413" s="17"/>
      <c r="DQ413" s="17"/>
      <c r="DR413" s="17"/>
      <c r="DS413" s="17"/>
      <c r="DT413" s="17"/>
      <c r="DU413" s="17"/>
      <c r="DV413" s="17"/>
      <c r="DW413" s="17"/>
      <c r="DX413" s="17"/>
      <c r="DY413" s="17"/>
      <c r="DZ413" s="17"/>
      <c r="EA413" s="17"/>
      <c r="EB413" s="17"/>
      <c r="EC413" s="17"/>
    </row>
    <row r="414" spans="1:133" x14ac:dyDescent="0.25">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7"/>
      <c r="BD414" s="17"/>
      <c r="BE414" s="17"/>
      <c r="BF414" s="17"/>
      <c r="BG414" s="17"/>
      <c r="BH414" s="17"/>
      <c r="BI414" s="17"/>
      <c r="BJ414" s="17"/>
      <c r="BK414" s="17"/>
      <c r="BL414" s="17"/>
      <c r="BM414" s="17"/>
      <c r="BN414" s="17"/>
      <c r="BO414" s="17"/>
      <c r="BP414" s="17"/>
      <c r="BQ414" s="17"/>
      <c r="BR414" s="17"/>
      <c r="BS414" s="17"/>
      <c r="BT414" s="17"/>
      <c r="BU414" s="17"/>
      <c r="BV414" s="17"/>
      <c r="BW414" s="17"/>
      <c r="BX414" s="17"/>
      <c r="BY414" s="17"/>
      <c r="BZ414" s="17"/>
      <c r="CA414" s="17"/>
      <c r="CB414" s="17"/>
      <c r="CC414" s="17"/>
      <c r="CD414" s="17"/>
      <c r="CE414" s="17"/>
      <c r="CF414" s="17"/>
      <c r="CG414" s="17"/>
      <c r="CH414" s="17"/>
      <c r="CI414" s="17"/>
      <c r="CJ414" s="17"/>
      <c r="CK414" s="17"/>
      <c r="CL414" s="17"/>
      <c r="CM414" s="17"/>
      <c r="CN414" s="17"/>
      <c r="CO414" s="17"/>
      <c r="CP414" s="17"/>
      <c r="CQ414" s="17"/>
      <c r="CR414" s="17"/>
      <c r="CS414" s="17"/>
      <c r="CT414" s="17"/>
      <c r="CU414" s="17"/>
      <c r="CV414" s="17"/>
      <c r="CW414" s="17"/>
      <c r="CX414" s="17"/>
      <c r="CY414" s="17"/>
      <c r="CZ414" s="17"/>
      <c r="DA414" s="17"/>
      <c r="DB414" s="17"/>
      <c r="DC414" s="17"/>
      <c r="DD414" s="17"/>
      <c r="DE414" s="17"/>
      <c r="DF414" s="17"/>
      <c r="DG414" s="17"/>
      <c r="DH414" s="17"/>
      <c r="DI414" s="17"/>
      <c r="DJ414" s="17"/>
      <c r="DK414" s="17"/>
      <c r="DL414" s="17"/>
      <c r="DM414" s="17"/>
      <c r="DN414" s="17"/>
      <c r="DO414" s="17"/>
      <c r="DP414" s="17"/>
      <c r="DQ414" s="17"/>
      <c r="DR414" s="17"/>
      <c r="DS414" s="17"/>
      <c r="DT414" s="17"/>
      <c r="DU414" s="17"/>
      <c r="DV414" s="17"/>
      <c r="DW414" s="17"/>
      <c r="DX414" s="17"/>
      <c r="DY414" s="17"/>
      <c r="DZ414" s="17"/>
      <c r="EA414" s="17"/>
      <c r="EB414" s="17"/>
      <c r="EC414" s="17"/>
    </row>
    <row r="415" spans="1:133" x14ac:dyDescent="0.2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7"/>
      <c r="BD415" s="17"/>
      <c r="BE415" s="17"/>
      <c r="BF415" s="17"/>
      <c r="BG415" s="17"/>
      <c r="BH415" s="17"/>
      <c r="BI415" s="17"/>
      <c r="BJ415" s="17"/>
      <c r="BK415" s="17"/>
      <c r="BL415" s="17"/>
      <c r="BM415" s="17"/>
      <c r="BN415" s="17"/>
      <c r="BO415" s="17"/>
      <c r="BP415" s="17"/>
      <c r="BQ415" s="17"/>
      <c r="BR415" s="17"/>
      <c r="BS415" s="17"/>
      <c r="BT415" s="17"/>
      <c r="BU415" s="17"/>
      <c r="BV415" s="17"/>
      <c r="BW415" s="17"/>
      <c r="BX415" s="17"/>
      <c r="BY415" s="17"/>
      <c r="BZ415" s="17"/>
      <c r="CA415" s="17"/>
      <c r="CB415" s="17"/>
      <c r="CC415" s="17"/>
      <c r="CD415" s="17"/>
      <c r="CE415" s="17"/>
      <c r="CF415" s="17"/>
      <c r="CG415" s="17"/>
      <c r="CH415" s="17"/>
      <c r="CI415" s="17"/>
      <c r="CJ415" s="17"/>
      <c r="CK415" s="17"/>
      <c r="CL415" s="17"/>
      <c r="CM415" s="17"/>
      <c r="CN415" s="17"/>
      <c r="CO415" s="17"/>
      <c r="CP415" s="17"/>
      <c r="CQ415" s="17"/>
      <c r="CR415" s="17"/>
      <c r="CS415" s="17"/>
      <c r="CT415" s="17"/>
      <c r="CU415" s="17"/>
      <c r="CV415" s="17"/>
      <c r="CW415" s="17"/>
      <c r="CX415" s="17"/>
      <c r="CY415" s="17"/>
      <c r="CZ415" s="17"/>
      <c r="DA415" s="17"/>
      <c r="DB415" s="17"/>
      <c r="DC415" s="17"/>
      <c r="DD415" s="17"/>
      <c r="DE415" s="17"/>
      <c r="DF415" s="17"/>
      <c r="DG415" s="17"/>
      <c r="DH415" s="17"/>
      <c r="DI415" s="17"/>
      <c r="DJ415" s="17"/>
      <c r="DK415" s="17"/>
      <c r="DL415" s="17"/>
      <c r="DM415" s="17"/>
      <c r="DN415" s="17"/>
      <c r="DO415" s="17"/>
      <c r="DP415" s="17"/>
      <c r="DQ415" s="17"/>
      <c r="DR415" s="17"/>
      <c r="DS415" s="17"/>
      <c r="DT415" s="17"/>
      <c r="DU415" s="17"/>
      <c r="DV415" s="17"/>
      <c r="DW415" s="17"/>
      <c r="DX415" s="17"/>
      <c r="DY415" s="17"/>
      <c r="DZ415" s="17"/>
      <c r="EA415" s="17"/>
      <c r="EB415" s="17"/>
      <c r="EC415" s="17"/>
    </row>
    <row r="416" spans="1:133" x14ac:dyDescent="0.25">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7"/>
      <c r="BD416" s="17"/>
      <c r="BE416" s="17"/>
      <c r="BF416" s="17"/>
      <c r="BG416" s="17"/>
      <c r="BH416" s="17"/>
      <c r="BI416" s="17"/>
      <c r="BJ416" s="17"/>
      <c r="BK416" s="17"/>
      <c r="BL416" s="17"/>
      <c r="BM416" s="17"/>
      <c r="BN416" s="17"/>
      <c r="BO416" s="17"/>
      <c r="BP416" s="17"/>
      <c r="BQ416" s="17"/>
      <c r="BR416" s="17"/>
      <c r="BS416" s="17"/>
      <c r="BT416" s="17"/>
      <c r="BU416" s="17"/>
      <c r="BV416" s="17"/>
      <c r="BW416" s="17"/>
      <c r="BX416" s="17"/>
      <c r="BY416" s="17"/>
      <c r="BZ416" s="17"/>
      <c r="CA416" s="17"/>
      <c r="CB416" s="17"/>
      <c r="CC416" s="17"/>
      <c r="CD416" s="17"/>
      <c r="CE416" s="17"/>
      <c r="CF416" s="17"/>
      <c r="CG416" s="17"/>
      <c r="CH416" s="17"/>
      <c r="CI416" s="17"/>
      <c r="CJ416" s="17"/>
      <c r="CK416" s="17"/>
      <c r="CL416" s="17"/>
      <c r="CM416" s="17"/>
      <c r="CN416" s="17"/>
      <c r="CO416" s="17"/>
      <c r="CP416" s="17"/>
      <c r="CQ416" s="17"/>
      <c r="CR416" s="17"/>
      <c r="CS416" s="17"/>
      <c r="CT416" s="17"/>
      <c r="CU416" s="17"/>
      <c r="CV416" s="17"/>
      <c r="CW416" s="17"/>
      <c r="CX416" s="17"/>
      <c r="CY416" s="17"/>
      <c r="CZ416" s="17"/>
      <c r="DA416" s="17"/>
      <c r="DB416" s="17"/>
      <c r="DC416" s="17"/>
      <c r="DD416" s="17"/>
      <c r="DE416" s="17"/>
      <c r="DF416" s="17"/>
      <c r="DG416" s="17"/>
      <c r="DH416" s="17"/>
      <c r="DI416" s="17"/>
      <c r="DJ416" s="17"/>
      <c r="DK416" s="17"/>
      <c r="DL416" s="17"/>
      <c r="DM416" s="17"/>
      <c r="DN416" s="17"/>
      <c r="DO416" s="17"/>
      <c r="DP416" s="17"/>
      <c r="DQ416" s="17"/>
      <c r="DR416" s="17"/>
      <c r="DS416" s="17"/>
      <c r="DT416" s="17"/>
      <c r="DU416" s="17"/>
      <c r="DV416" s="17"/>
      <c r="DW416" s="17"/>
      <c r="DX416" s="17"/>
      <c r="DY416" s="17"/>
      <c r="DZ416" s="17"/>
      <c r="EA416" s="17"/>
      <c r="EB416" s="17"/>
      <c r="EC416" s="17"/>
    </row>
    <row r="417" spans="1:133" x14ac:dyDescent="0.25">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7"/>
      <c r="BD417" s="17"/>
      <c r="BE417" s="17"/>
      <c r="BF417" s="17"/>
      <c r="BG417" s="17"/>
      <c r="BH417" s="17"/>
      <c r="BI417" s="17"/>
      <c r="BJ417" s="17"/>
      <c r="BK417" s="17"/>
      <c r="BL417" s="17"/>
      <c r="BM417" s="17"/>
      <c r="BN417" s="17"/>
      <c r="BO417" s="17"/>
      <c r="BP417" s="17"/>
      <c r="BQ417" s="17"/>
      <c r="BR417" s="17"/>
      <c r="BS417" s="17"/>
      <c r="BT417" s="17"/>
      <c r="BU417" s="17"/>
      <c r="BV417" s="17"/>
      <c r="BW417" s="17"/>
      <c r="BX417" s="17"/>
      <c r="BY417" s="17"/>
      <c r="BZ417" s="17"/>
      <c r="CA417" s="17"/>
      <c r="CB417" s="17"/>
      <c r="CC417" s="17"/>
      <c r="CD417" s="17"/>
      <c r="CE417" s="17"/>
      <c r="CF417" s="17"/>
      <c r="CG417" s="17"/>
      <c r="CH417" s="17"/>
      <c r="CI417" s="17"/>
      <c r="CJ417" s="17"/>
      <c r="CK417" s="17"/>
      <c r="CL417" s="17"/>
      <c r="CM417" s="17"/>
      <c r="CN417" s="17"/>
      <c r="CO417" s="17"/>
      <c r="CP417" s="17"/>
      <c r="CQ417" s="17"/>
      <c r="CR417" s="17"/>
      <c r="CS417" s="17"/>
      <c r="CT417" s="17"/>
      <c r="CU417" s="17"/>
      <c r="CV417" s="17"/>
      <c r="CW417" s="17"/>
      <c r="CX417" s="17"/>
      <c r="CY417" s="17"/>
      <c r="CZ417" s="17"/>
      <c r="DA417" s="17"/>
      <c r="DB417" s="17"/>
      <c r="DC417" s="17"/>
      <c r="DD417" s="17"/>
      <c r="DE417" s="17"/>
      <c r="DF417" s="17"/>
      <c r="DG417" s="17"/>
      <c r="DH417" s="17"/>
      <c r="DI417" s="17"/>
      <c r="DJ417" s="17"/>
      <c r="DK417" s="17"/>
      <c r="DL417" s="17"/>
      <c r="DM417" s="17"/>
      <c r="DN417" s="17"/>
      <c r="DO417" s="17"/>
      <c r="DP417" s="17"/>
      <c r="DQ417" s="17"/>
      <c r="DR417" s="17"/>
      <c r="DS417" s="17"/>
      <c r="DT417" s="17"/>
      <c r="DU417" s="17"/>
      <c r="DV417" s="17"/>
      <c r="DW417" s="17"/>
      <c r="DX417" s="17"/>
      <c r="DY417" s="17"/>
      <c r="DZ417" s="17"/>
      <c r="EA417" s="17"/>
      <c r="EB417" s="17"/>
      <c r="EC417" s="17"/>
    </row>
    <row r="418" spans="1:133" x14ac:dyDescent="0.25">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c r="BD418" s="17"/>
      <c r="BE418" s="17"/>
      <c r="BF418" s="17"/>
      <c r="BG418" s="17"/>
      <c r="BH418" s="17"/>
      <c r="BI418" s="17"/>
      <c r="BJ418" s="17"/>
      <c r="BK418" s="17"/>
      <c r="BL418" s="17"/>
      <c r="BM418" s="17"/>
      <c r="BN418" s="17"/>
      <c r="BO418" s="17"/>
      <c r="BP418" s="17"/>
      <c r="BQ418" s="17"/>
      <c r="BR418" s="17"/>
      <c r="BS418" s="17"/>
      <c r="BT418" s="17"/>
      <c r="BU418" s="17"/>
      <c r="BV418" s="17"/>
      <c r="BW418" s="17"/>
      <c r="BX418" s="17"/>
      <c r="BY418" s="17"/>
      <c r="BZ418" s="17"/>
      <c r="CA418" s="17"/>
      <c r="CB418" s="17"/>
      <c r="CC418" s="17"/>
      <c r="CD418" s="17"/>
      <c r="CE418" s="17"/>
      <c r="CF418" s="17"/>
      <c r="CG418" s="17"/>
      <c r="CH418" s="17"/>
      <c r="CI418" s="17"/>
      <c r="CJ418" s="17"/>
      <c r="CK418" s="17"/>
      <c r="CL418" s="17"/>
      <c r="CM418" s="17"/>
      <c r="CN418" s="17"/>
      <c r="CO418" s="17"/>
      <c r="CP418" s="17"/>
      <c r="CQ418" s="17"/>
      <c r="CR418" s="17"/>
      <c r="CS418" s="17"/>
      <c r="CT418" s="17"/>
      <c r="CU418" s="17"/>
      <c r="CV418" s="17"/>
      <c r="CW418" s="17"/>
      <c r="CX418" s="17"/>
      <c r="CY418" s="17"/>
      <c r="CZ418" s="17"/>
      <c r="DA418" s="17"/>
      <c r="DB418" s="17"/>
      <c r="DC418" s="17"/>
      <c r="DD418" s="17"/>
      <c r="DE418" s="17"/>
      <c r="DF418" s="17"/>
      <c r="DG418" s="17"/>
      <c r="DH418" s="17"/>
      <c r="DI418" s="17"/>
      <c r="DJ418" s="17"/>
      <c r="DK418" s="17"/>
      <c r="DL418" s="17"/>
      <c r="DM418" s="17"/>
      <c r="DN418" s="17"/>
      <c r="DO418" s="17"/>
      <c r="DP418" s="17"/>
      <c r="DQ418" s="17"/>
      <c r="DR418" s="17"/>
      <c r="DS418" s="17"/>
      <c r="DT418" s="17"/>
      <c r="DU418" s="17"/>
      <c r="DV418" s="17"/>
      <c r="DW418" s="17"/>
      <c r="DX418" s="17"/>
      <c r="DY418" s="17"/>
      <c r="DZ418" s="17"/>
      <c r="EA418" s="17"/>
      <c r="EB418" s="17"/>
      <c r="EC418" s="17"/>
    </row>
    <row r="419" spans="1:133" x14ac:dyDescent="0.25">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7"/>
      <c r="BD419" s="17"/>
      <c r="BE419" s="17"/>
      <c r="BF419" s="17"/>
      <c r="BG419" s="17"/>
      <c r="BH419" s="17"/>
      <c r="BI419" s="17"/>
      <c r="BJ419" s="17"/>
      <c r="BK419" s="17"/>
      <c r="BL419" s="17"/>
      <c r="BM419" s="17"/>
      <c r="BN419" s="17"/>
      <c r="BO419" s="17"/>
      <c r="BP419" s="17"/>
      <c r="BQ419" s="17"/>
      <c r="BR419" s="17"/>
      <c r="BS419" s="17"/>
      <c r="BT419" s="17"/>
      <c r="BU419" s="17"/>
      <c r="BV419" s="17"/>
      <c r="BW419" s="17"/>
      <c r="BX419" s="17"/>
      <c r="BY419" s="17"/>
      <c r="BZ419" s="17"/>
      <c r="CA419" s="17"/>
      <c r="CB419" s="17"/>
      <c r="CC419" s="17"/>
      <c r="CD419" s="17"/>
      <c r="CE419" s="17"/>
      <c r="CF419" s="17"/>
      <c r="CG419" s="17"/>
      <c r="CH419" s="17"/>
      <c r="CI419" s="17"/>
      <c r="CJ419" s="17"/>
      <c r="CK419" s="17"/>
      <c r="CL419" s="17"/>
      <c r="CM419" s="17"/>
      <c r="CN419" s="17"/>
      <c r="CO419" s="17"/>
      <c r="CP419" s="17"/>
      <c r="CQ419" s="17"/>
      <c r="CR419" s="17"/>
      <c r="CS419" s="17"/>
      <c r="CT419" s="17"/>
      <c r="CU419" s="17"/>
      <c r="CV419" s="17"/>
      <c r="CW419" s="17"/>
      <c r="CX419" s="17"/>
      <c r="CY419" s="17"/>
      <c r="CZ419" s="17"/>
      <c r="DA419" s="17"/>
      <c r="DB419" s="17"/>
      <c r="DC419" s="17"/>
      <c r="DD419" s="17"/>
      <c r="DE419" s="17"/>
      <c r="DF419" s="17"/>
      <c r="DG419" s="17"/>
      <c r="DH419" s="17"/>
      <c r="DI419" s="17"/>
      <c r="DJ419" s="17"/>
      <c r="DK419" s="17"/>
      <c r="DL419" s="17"/>
      <c r="DM419" s="17"/>
      <c r="DN419" s="17"/>
      <c r="DO419" s="17"/>
      <c r="DP419" s="17"/>
      <c r="DQ419" s="17"/>
      <c r="DR419" s="17"/>
      <c r="DS419" s="17"/>
      <c r="DT419" s="17"/>
      <c r="DU419" s="17"/>
      <c r="DV419" s="17"/>
      <c r="DW419" s="17"/>
      <c r="DX419" s="17"/>
      <c r="DY419" s="17"/>
      <c r="DZ419" s="17"/>
      <c r="EA419" s="17"/>
      <c r="EB419" s="17"/>
      <c r="EC419" s="17"/>
    </row>
    <row r="420" spans="1:133" x14ac:dyDescent="0.25">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7"/>
      <c r="BD420" s="17"/>
      <c r="BE420" s="17"/>
      <c r="BF420" s="17"/>
      <c r="BG420" s="17"/>
      <c r="BH420" s="17"/>
      <c r="BI420" s="17"/>
      <c r="BJ420" s="17"/>
      <c r="BK420" s="17"/>
      <c r="BL420" s="17"/>
      <c r="BM420" s="17"/>
      <c r="BN420" s="17"/>
      <c r="BO420" s="17"/>
      <c r="BP420" s="17"/>
      <c r="BQ420" s="17"/>
      <c r="BR420" s="17"/>
      <c r="BS420" s="17"/>
      <c r="BT420" s="17"/>
      <c r="BU420" s="17"/>
      <c r="BV420" s="17"/>
      <c r="BW420" s="17"/>
      <c r="BX420" s="17"/>
      <c r="BY420" s="17"/>
      <c r="BZ420" s="17"/>
      <c r="CA420" s="17"/>
      <c r="CB420" s="17"/>
      <c r="CC420" s="17"/>
      <c r="CD420" s="17"/>
      <c r="CE420" s="17"/>
      <c r="CF420" s="17"/>
      <c r="CG420" s="17"/>
      <c r="CH420" s="17"/>
      <c r="CI420" s="17"/>
      <c r="CJ420" s="17"/>
      <c r="CK420" s="17"/>
      <c r="CL420" s="17"/>
      <c r="CM420" s="17"/>
      <c r="CN420" s="17"/>
      <c r="CO420" s="17"/>
      <c r="CP420" s="17"/>
      <c r="CQ420" s="17"/>
      <c r="CR420" s="17"/>
      <c r="CS420" s="17"/>
      <c r="CT420" s="17"/>
      <c r="CU420" s="17"/>
      <c r="CV420" s="17"/>
      <c r="CW420" s="17"/>
      <c r="CX420" s="17"/>
      <c r="CY420" s="17"/>
      <c r="CZ420" s="17"/>
      <c r="DA420" s="17"/>
      <c r="DB420" s="17"/>
      <c r="DC420" s="17"/>
      <c r="DD420" s="17"/>
      <c r="DE420" s="17"/>
      <c r="DF420" s="17"/>
      <c r="DG420" s="17"/>
      <c r="DH420" s="17"/>
      <c r="DI420" s="17"/>
      <c r="DJ420" s="17"/>
      <c r="DK420" s="17"/>
      <c r="DL420" s="17"/>
      <c r="DM420" s="17"/>
      <c r="DN420" s="17"/>
      <c r="DO420" s="17"/>
      <c r="DP420" s="17"/>
      <c r="DQ420" s="17"/>
      <c r="DR420" s="17"/>
      <c r="DS420" s="17"/>
      <c r="DT420" s="17"/>
      <c r="DU420" s="17"/>
      <c r="DV420" s="17"/>
      <c r="DW420" s="17"/>
      <c r="DX420" s="17"/>
      <c r="DY420" s="17"/>
      <c r="DZ420" s="17"/>
      <c r="EA420" s="17"/>
      <c r="EB420" s="17"/>
      <c r="EC420" s="17"/>
    </row>
    <row r="421" spans="1:133" x14ac:dyDescent="0.25">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7"/>
      <c r="BD421" s="17"/>
      <c r="BE421" s="17"/>
      <c r="BF421" s="17"/>
      <c r="BG421" s="17"/>
      <c r="BH421" s="17"/>
      <c r="BI421" s="17"/>
      <c r="BJ421" s="17"/>
      <c r="BK421" s="17"/>
      <c r="BL421" s="17"/>
      <c r="BM421" s="17"/>
      <c r="BN421" s="17"/>
      <c r="BO421" s="17"/>
      <c r="BP421" s="17"/>
      <c r="BQ421" s="17"/>
      <c r="BR421" s="17"/>
      <c r="BS421" s="17"/>
      <c r="BT421" s="17"/>
      <c r="BU421" s="17"/>
      <c r="BV421" s="17"/>
      <c r="BW421" s="17"/>
      <c r="BX421" s="17"/>
      <c r="BY421" s="17"/>
      <c r="BZ421" s="17"/>
      <c r="CA421" s="17"/>
      <c r="CB421" s="17"/>
      <c r="CC421" s="17"/>
      <c r="CD421" s="17"/>
      <c r="CE421" s="17"/>
      <c r="CF421" s="17"/>
      <c r="CG421" s="17"/>
      <c r="CH421" s="17"/>
      <c r="CI421" s="17"/>
      <c r="CJ421" s="17"/>
      <c r="CK421" s="17"/>
      <c r="CL421" s="17"/>
      <c r="CM421" s="17"/>
      <c r="CN421" s="17"/>
      <c r="CO421" s="17"/>
      <c r="CP421" s="17"/>
      <c r="CQ421" s="17"/>
      <c r="CR421" s="17"/>
      <c r="CS421" s="17"/>
      <c r="CT421" s="17"/>
      <c r="CU421" s="17"/>
      <c r="CV421" s="17"/>
      <c r="CW421" s="17"/>
      <c r="CX421" s="17"/>
      <c r="CY421" s="17"/>
      <c r="CZ421" s="17"/>
      <c r="DA421" s="17"/>
      <c r="DB421" s="17"/>
      <c r="DC421" s="17"/>
      <c r="DD421" s="17"/>
      <c r="DE421" s="17"/>
      <c r="DF421" s="17"/>
      <c r="DG421" s="17"/>
      <c r="DH421" s="17"/>
      <c r="DI421" s="17"/>
      <c r="DJ421" s="17"/>
      <c r="DK421" s="17"/>
      <c r="DL421" s="17"/>
      <c r="DM421" s="17"/>
      <c r="DN421" s="17"/>
      <c r="DO421" s="17"/>
      <c r="DP421" s="17"/>
      <c r="DQ421" s="17"/>
      <c r="DR421" s="17"/>
      <c r="DS421" s="17"/>
      <c r="DT421" s="17"/>
      <c r="DU421" s="17"/>
      <c r="DV421" s="17"/>
      <c r="DW421" s="17"/>
      <c r="DX421" s="17"/>
      <c r="DY421" s="17"/>
      <c r="DZ421" s="17"/>
      <c r="EA421" s="17"/>
      <c r="EB421" s="17"/>
      <c r="EC421" s="17"/>
    </row>
    <row r="422" spans="1:133" x14ac:dyDescent="0.25">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7"/>
      <c r="BD422" s="17"/>
      <c r="BE422" s="17"/>
      <c r="BF422" s="17"/>
      <c r="BG422" s="17"/>
      <c r="BH422" s="17"/>
      <c r="BI422" s="17"/>
      <c r="BJ422" s="17"/>
      <c r="BK422" s="17"/>
      <c r="BL422" s="17"/>
      <c r="BM422" s="17"/>
      <c r="BN422" s="17"/>
      <c r="BO422" s="17"/>
      <c r="BP422" s="17"/>
      <c r="BQ422" s="17"/>
      <c r="BR422" s="17"/>
      <c r="BS422" s="17"/>
      <c r="BT422" s="17"/>
      <c r="BU422" s="17"/>
      <c r="BV422" s="17"/>
      <c r="BW422" s="17"/>
      <c r="BX422" s="17"/>
      <c r="BY422" s="17"/>
      <c r="BZ422" s="17"/>
      <c r="CA422" s="17"/>
      <c r="CB422" s="17"/>
      <c r="CC422" s="17"/>
      <c r="CD422" s="17"/>
      <c r="CE422" s="17"/>
      <c r="CF422" s="17"/>
      <c r="CG422" s="17"/>
      <c r="CH422" s="17"/>
      <c r="CI422" s="17"/>
      <c r="CJ422" s="17"/>
      <c r="CK422" s="17"/>
      <c r="CL422" s="17"/>
      <c r="CM422" s="17"/>
      <c r="CN422" s="17"/>
      <c r="CO422" s="17"/>
      <c r="CP422" s="17"/>
      <c r="CQ422" s="17"/>
      <c r="CR422" s="17"/>
      <c r="CS422" s="17"/>
      <c r="CT422" s="17"/>
      <c r="CU422" s="17"/>
      <c r="CV422" s="17"/>
      <c r="CW422" s="17"/>
      <c r="CX422" s="17"/>
      <c r="CY422" s="17"/>
      <c r="CZ422" s="17"/>
      <c r="DA422" s="17"/>
      <c r="DB422" s="17"/>
      <c r="DC422" s="17"/>
      <c r="DD422" s="17"/>
      <c r="DE422" s="17"/>
      <c r="DF422" s="17"/>
      <c r="DG422" s="17"/>
      <c r="DH422" s="17"/>
      <c r="DI422" s="17"/>
      <c r="DJ422" s="17"/>
      <c r="DK422" s="17"/>
      <c r="DL422" s="17"/>
      <c r="DM422" s="17"/>
      <c r="DN422" s="17"/>
      <c r="DO422" s="17"/>
      <c r="DP422" s="17"/>
      <c r="DQ422" s="17"/>
      <c r="DR422" s="17"/>
      <c r="DS422" s="17"/>
      <c r="DT422" s="17"/>
      <c r="DU422" s="17"/>
      <c r="DV422" s="17"/>
      <c r="DW422" s="17"/>
      <c r="DX422" s="17"/>
      <c r="DY422" s="17"/>
      <c r="DZ422" s="17"/>
      <c r="EA422" s="17"/>
      <c r="EB422" s="17"/>
      <c r="EC422" s="17"/>
    </row>
    <row r="423" spans="1:133" x14ac:dyDescent="0.25">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c r="BD423" s="17"/>
      <c r="BE423" s="17"/>
      <c r="BF423" s="17"/>
      <c r="BG423" s="17"/>
      <c r="BH423" s="17"/>
      <c r="BI423" s="17"/>
      <c r="BJ423" s="17"/>
      <c r="BK423" s="17"/>
      <c r="BL423" s="17"/>
      <c r="BM423" s="17"/>
      <c r="BN423" s="17"/>
      <c r="BO423" s="17"/>
      <c r="BP423" s="17"/>
      <c r="BQ423" s="17"/>
      <c r="BR423" s="17"/>
      <c r="BS423" s="17"/>
      <c r="BT423" s="17"/>
      <c r="BU423" s="17"/>
      <c r="BV423" s="17"/>
      <c r="BW423" s="17"/>
      <c r="BX423" s="17"/>
      <c r="BY423" s="17"/>
      <c r="BZ423" s="17"/>
      <c r="CA423" s="17"/>
      <c r="CB423" s="17"/>
      <c r="CC423" s="17"/>
      <c r="CD423" s="17"/>
      <c r="CE423" s="17"/>
      <c r="CF423" s="17"/>
      <c r="CG423" s="17"/>
      <c r="CH423" s="17"/>
      <c r="CI423" s="17"/>
      <c r="CJ423" s="17"/>
      <c r="CK423" s="17"/>
      <c r="CL423" s="17"/>
      <c r="CM423" s="17"/>
      <c r="CN423" s="17"/>
      <c r="CO423" s="17"/>
      <c r="CP423" s="17"/>
      <c r="CQ423" s="17"/>
      <c r="CR423" s="17"/>
      <c r="CS423" s="17"/>
      <c r="CT423" s="17"/>
      <c r="CU423" s="17"/>
      <c r="CV423" s="17"/>
      <c r="CW423" s="17"/>
      <c r="CX423" s="17"/>
      <c r="CY423" s="17"/>
      <c r="CZ423" s="17"/>
      <c r="DA423" s="17"/>
      <c r="DB423" s="17"/>
      <c r="DC423" s="17"/>
      <c r="DD423" s="17"/>
      <c r="DE423" s="17"/>
      <c r="DF423" s="17"/>
      <c r="DG423" s="17"/>
      <c r="DH423" s="17"/>
      <c r="DI423" s="17"/>
      <c r="DJ423" s="17"/>
      <c r="DK423" s="17"/>
      <c r="DL423" s="17"/>
      <c r="DM423" s="17"/>
      <c r="DN423" s="17"/>
      <c r="DO423" s="17"/>
      <c r="DP423" s="17"/>
      <c r="DQ423" s="17"/>
      <c r="DR423" s="17"/>
      <c r="DS423" s="17"/>
      <c r="DT423" s="17"/>
      <c r="DU423" s="17"/>
      <c r="DV423" s="17"/>
      <c r="DW423" s="17"/>
      <c r="DX423" s="17"/>
      <c r="DY423" s="17"/>
      <c r="DZ423" s="17"/>
      <c r="EA423" s="17"/>
      <c r="EB423" s="17"/>
      <c r="EC423" s="17"/>
    </row>
    <row r="424" spans="1:133" x14ac:dyDescent="0.25">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c r="BD424" s="17"/>
      <c r="BE424" s="17"/>
      <c r="BF424" s="17"/>
      <c r="BG424" s="17"/>
      <c r="BH424" s="17"/>
      <c r="BI424" s="17"/>
      <c r="BJ424" s="17"/>
      <c r="BK424" s="17"/>
      <c r="BL424" s="17"/>
      <c r="BM424" s="17"/>
      <c r="BN424" s="17"/>
      <c r="BO424" s="17"/>
      <c r="BP424" s="17"/>
      <c r="BQ424" s="17"/>
      <c r="BR424" s="17"/>
      <c r="BS424" s="17"/>
      <c r="BT424" s="17"/>
      <c r="BU424" s="17"/>
      <c r="BV424" s="17"/>
      <c r="BW424" s="17"/>
      <c r="BX424" s="17"/>
      <c r="BY424" s="17"/>
      <c r="BZ424" s="17"/>
      <c r="CA424" s="17"/>
      <c r="CB424" s="17"/>
      <c r="CC424" s="17"/>
      <c r="CD424" s="17"/>
      <c r="CE424" s="17"/>
      <c r="CF424" s="17"/>
      <c r="CG424" s="17"/>
      <c r="CH424" s="17"/>
      <c r="CI424" s="17"/>
      <c r="CJ424" s="17"/>
      <c r="CK424" s="17"/>
      <c r="CL424" s="17"/>
      <c r="CM424" s="17"/>
      <c r="CN424" s="17"/>
      <c r="CO424" s="17"/>
      <c r="CP424" s="17"/>
      <c r="CQ424" s="17"/>
      <c r="CR424" s="17"/>
      <c r="CS424" s="17"/>
      <c r="CT424" s="17"/>
      <c r="CU424" s="17"/>
      <c r="CV424" s="17"/>
      <c r="CW424" s="17"/>
      <c r="CX424" s="17"/>
      <c r="CY424" s="17"/>
      <c r="CZ424" s="17"/>
      <c r="DA424" s="17"/>
      <c r="DB424" s="17"/>
      <c r="DC424" s="17"/>
      <c r="DD424" s="17"/>
      <c r="DE424" s="17"/>
      <c r="DF424" s="17"/>
      <c r="DG424" s="17"/>
      <c r="DH424" s="17"/>
      <c r="DI424" s="17"/>
      <c r="DJ424" s="17"/>
      <c r="DK424" s="17"/>
      <c r="DL424" s="17"/>
      <c r="DM424" s="17"/>
      <c r="DN424" s="17"/>
      <c r="DO424" s="17"/>
      <c r="DP424" s="17"/>
      <c r="DQ424" s="17"/>
      <c r="DR424" s="17"/>
      <c r="DS424" s="17"/>
      <c r="DT424" s="17"/>
      <c r="DU424" s="17"/>
      <c r="DV424" s="17"/>
      <c r="DW424" s="17"/>
      <c r="DX424" s="17"/>
      <c r="DY424" s="17"/>
      <c r="DZ424" s="17"/>
      <c r="EA424" s="17"/>
      <c r="EB424" s="17"/>
      <c r="EC424" s="17"/>
    </row>
    <row r="425" spans="1:133" x14ac:dyDescent="0.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c r="BD425" s="17"/>
      <c r="BE425" s="17"/>
      <c r="BF425" s="17"/>
      <c r="BG425" s="17"/>
      <c r="BH425" s="17"/>
      <c r="BI425" s="17"/>
      <c r="BJ425" s="17"/>
      <c r="BK425" s="17"/>
      <c r="BL425" s="17"/>
      <c r="BM425" s="17"/>
      <c r="BN425" s="17"/>
      <c r="BO425" s="17"/>
      <c r="BP425" s="17"/>
      <c r="BQ425" s="17"/>
      <c r="BR425" s="17"/>
      <c r="BS425" s="17"/>
      <c r="BT425" s="17"/>
      <c r="BU425" s="17"/>
      <c r="BV425" s="17"/>
      <c r="BW425" s="17"/>
      <c r="BX425" s="17"/>
      <c r="BY425" s="17"/>
      <c r="BZ425" s="17"/>
      <c r="CA425" s="17"/>
      <c r="CB425" s="17"/>
      <c r="CC425" s="17"/>
      <c r="CD425" s="17"/>
      <c r="CE425" s="17"/>
      <c r="CF425" s="17"/>
      <c r="CG425" s="17"/>
      <c r="CH425" s="17"/>
      <c r="CI425" s="17"/>
      <c r="CJ425" s="17"/>
      <c r="CK425" s="17"/>
      <c r="CL425" s="17"/>
      <c r="CM425" s="17"/>
      <c r="CN425" s="17"/>
      <c r="CO425" s="17"/>
      <c r="CP425" s="17"/>
      <c r="CQ425" s="17"/>
      <c r="CR425" s="17"/>
      <c r="CS425" s="17"/>
      <c r="CT425" s="17"/>
      <c r="CU425" s="17"/>
      <c r="CV425" s="17"/>
      <c r="CW425" s="17"/>
      <c r="CX425" s="17"/>
      <c r="CY425" s="17"/>
      <c r="CZ425" s="17"/>
      <c r="DA425" s="17"/>
      <c r="DB425" s="17"/>
      <c r="DC425" s="17"/>
      <c r="DD425" s="17"/>
      <c r="DE425" s="17"/>
      <c r="DF425" s="17"/>
      <c r="DG425" s="17"/>
      <c r="DH425" s="17"/>
      <c r="DI425" s="17"/>
      <c r="DJ425" s="17"/>
      <c r="DK425" s="17"/>
      <c r="DL425" s="17"/>
      <c r="DM425" s="17"/>
      <c r="DN425" s="17"/>
      <c r="DO425" s="17"/>
      <c r="DP425" s="17"/>
      <c r="DQ425" s="17"/>
      <c r="DR425" s="17"/>
      <c r="DS425" s="17"/>
      <c r="DT425" s="17"/>
      <c r="DU425" s="17"/>
      <c r="DV425" s="17"/>
      <c r="DW425" s="17"/>
      <c r="DX425" s="17"/>
      <c r="DY425" s="17"/>
      <c r="DZ425" s="17"/>
      <c r="EA425" s="17"/>
      <c r="EB425" s="17"/>
      <c r="EC425" s="17"/>
    </row>
    <row r="426" spans="1:133" x14ac:dyDescent="0.25">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c r="BC426" s="17"/>
      <c r="BD426" s="17"/>
      <c r="BE426" s="17"/>
      <c r="BF426" s="17"/>
      <c r="BG426" s="17"/>
      <c r="BH426" s="17"/>
      <c r="BI426" s="17"/>
      <c r="BJ426" s="17"/>
      <c r="BK426" s="17"/>
      <c r="BL426" s="17"/>
      <c r="BM426" s="17"/>
      <c r="BN426" s="17"/>
      <c r="BO426" s="17"/>
      <c r="BP426" s="17"/>
      <c r="BQ426" s="17"/>
      <c r="BR426" s="17"/>
      <c r="BS426" s="17"/>
      <c r="BT426" s="17"/>
      <c r="BU426" s="17"/>
      <c r="BV426" s="17"/>
      <c r="BW426" s="17"/>
      <c r="BX426" s="17"/>
      <c r="BY426" s="17"/>
      <c r="BZ426" s="17"/>
      <c r="CA426" s="17"/>
      <c r="CB426" s="17"/>
      <c r="CC426" s="17"/>
      <c r="CD426" s="17"/>
      <c r="CE426" s="17"/>
      <c r="CF426" s="17"/>
      <c r="CG426" s="17"/>
      <c r="CH426" s="17"/>
      <c r="CI426" s="17"/>
      <c r="CJ426" s="17"/>
      <c r="CK426" s="17"/>
      <c r="CL426" s="17"/>
      <c r="CM426" s="17"/>
      <c r="CN426" s="17"/>
      <c r="CO426" s="17"/>
      <c r="CP426" s="17"/>
      <c r="CQ426" s="17"/>
      <c r="CR426" s="17"/>
      <c r="CS426" s="17"/>
      <c r="CT426" s="17"/>
      <c r="CU426" s="17"/>
      <c r="CV426" s="17"/>
      <c r="CW426" s="17"/>
      <c r="CX426" s="17"/>
      <c r="CY426" s="17"/>
      <c r="CZ426" s="17"/>
      <c r="DA426" s="17"/>
      <c r="DB426" s="17"/>
      <c r="DC426" s="17"/>
      <c r="DD426" s="17"/>
      <c r="DE426" s="17"/>
      <c r="DF426" s="17"/>
      <c r="DG426" s="17"/>
      <c r="DH426" s="17"/>
      <c r="DI426" s="17"/>
      <c r="DJ426" s="17"/>
      <c r="DK426" s="17"/>
      <c r="DL426" s="17"/>
      <c r="DM426" s="17"/>
      <c r="DN426" s="17"/>
      <c r="DO426" s="17"/>
      <c r="DP426" s="17"/>
      <c r="DQ426" s="17"/>
      <c r="DR426" s="17"/>
      <c r="DS426" s="17"/>
      <c r="DT426" s="17"/>
      <c r="DU426" s="17"/>
      <c r="DV426" s="17"/>
      <c r="DW426" s="17"/>
      <c r="DX426" s="17"/>
      <c r="DY426" s="17"/>
      <c r="DZ426" s="17"/>
      <c r="EA426" s="17"/>
      <c r="EB426" s="17"/>
      <c r="EC426" s="17"/>
    </row>
    <row r="427" spans="1:133" x14ac:dyDescent="0.25">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c r="BB427" s="17"/>
      <c r="BC427" s="17"/>
      <c r="BD427" s="17"/>
      <c r="BE427" s="17"/>
      <c r="BF427" s="17"/>
      <c r="BG427" s="17"/>
      <c r="BH427" s="17"/>
      <c r="BI427" s="17"/>
      <c r="BJ427" s="17"/>
      <c r="BK427" s="17"/>
      <c r="BL427" s="17"/>
      <c r="BM427" s="17"/>
      <c r="BN427" s="17"/>
      <c r="BO427" s="17"/>
      <c r="BP427" s="17"/>
      <c r="BQ427" s="17"/>
      <c r="BR427" s="17"/>
      <c r="BS427" s="17"/>
      <c r="BT427" s="17"/>
      <c r="BU427" s="17"/>
      <c r="BV427" s="17"/>
      <c r="BW427" s="17"/>
      <c r="BX427" s="17"/>
      <c r="BY427" s="17"/>
      <c r="BZ427" s="17"/>
      <c r="CA427" s="17"/>
      <c r="CB427" s="17"/>
      <c r="CC427" s="17"/>
      <c r="CD427" s="17"/>
      <c r="CE427" s="17"/>
      <c r="CF427" s="17"/>
      <c r="CG427" s="17"/>
      <c r="CH427" s="17"/>
      <c r="CI427" s="17"/>
      <c r="CJ427" s="17"/>
      <c r="CK427" s="17"/>
      <c r="CL427" s="17"/>
      <c r="CM427" s="17"/>
      <c r="CN427" s="17"/>
      <c r="CO427" s="17"/>
      <c r="CP427" s="17"/>
      <c r="CQ427" s="17"/>
      <c r="CR427" s="17"/>
      <c r="CS427" s="17"/>
      <c r="CT427" s="17"/>
      <c r="CU427" s="17"/>
      <c r="CV427" s="17"/>
      <c r="CW427" s="17"/>
      <c r="CX427" s="17"/>
      <c r="CY427" s="17"/>
      <c r="CZ427" s="17"/>
      <c r="DA427" s="17"/>
      <c r="DB427" s="17"/>
      <c r="DC427" s="17"/>
      <c r="DD427" s="17"/>
      <c r="DE427" s="17"/>
      <c r="DF427" s="17"/>
      <c r="DG427" s="17"/>
      <c r="DH427" s="17"/>
      <c r="DI427" s="17"/>
      <c r="DJ427" s="17"/>
      <c r="DK427" s="17"/>
      <c r="DL427" s="17"/>
      <c r="DM427" s="17"/>
      <c r="DN427" s="17"/>
      <c r="DO427" s="17"/>
      <c r="DP427" s="17"/>
      <c r="DQ427" s="17"/>
      <c r="DR427" s="17"/>
      <c r="DS427" s="17"/>
      <c r="DT427" s="17"/>
      <c r="DU427" s="17"/>
      <c r="DV427" s="17"/>
      <c r="DW427" s="17"/>
      <c r="DX427" s="17"/>
      <c r="DY427" s="17"/>
      <c r="DZ427" s="17"/>
      <c r="EA427" s="17"/>
      <c r="EB427" s="17"/>
      <c r="EC427" s="17"/>
    </row>
    <row r="428" spans="1:133" x14ac:dyDescent="0.25">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7"/>
      <c r="BD428" s="17"/>
      <c r="BE428" s="17"/>
      <c r="BF428" s="17"/>
      <c r="BG428" s="17"/>
      <c r="BH428" s="17"/>
      <c r="BI428" s="17"/>
      <c r="BJ428" s="17"/>
      <c r="BK428" s="17"/>
      <c r="BL428" s="17"/>
      <c r="BM428" s="17"/>
      <c r="BN428" s="17"/>
      <c r="BO428" s="17"/>
      <c r="BP428" s="17"/>
      <c r="BQ428" s="17"/>
      <c r="BR428" s="17"/>
      <c r="BS428" s="17"/>
      <c r="BT428" s="17"/>
      <c r="BU428" s="17"/>
      <c r="BV428" s="17"/>
      <c r="BW428" s="17"/>
      <c r="BX428" s="17"/>
      <c r="BY428" s="17"/>
      <c r="BZ428" s="17"/>
      <c r="CA428" s="17"/>
      <c r="CB428" s="17"/>
      <c r="CC428" s="17"/>
      <c r="CD428" s="17"/>
      <c r="CE428" s="17"/>
      <c r="CF428" s="17"/>
      <c r="CG428" s="17"/>
      <c r="CH428" s="17"/>
      <c r="CI428" s="17"/>
      <c r="CJ428" s="17"/>
      <c r="CK428" s="17"/>
      <c r="CL428" s="17"/>
      <c r="CM428" s="17"/>
      <c r="CN428" s="17"/>
      <c r="CO428" s="17"/>
      <c r="CP428" s="17"/>
      <c r="CQ428" s="17"/>
      <c r="CR428" s="17"/>
      <c r="CS428" s="17"/>
      <c r="CT428" s="17"/>
      <c r="CU428" s="17"/>
      <c r="CV428" s="17"/>
      <c r="CW428" s="17"/>
      <c r="CX428" s="17"/>
      <c r="CY428" s="17"/>
      <c r="CZ428" s="17"/>
      <c r="DA428" s="17"/>
      <c r="DB428" s="17"/>
      <c r="DC428" s="17"/>
      <c r="DD428" s="17"/>
      <c r="DE428" s="17"/>
      <c r="DF428" s="17"/>
      <c r="DG428" s="17"/>
      <c r="DH428" s="17"/>
      <c r="DI428" s="17"/>
      <c r="DJ428" s="17"/>
      <c r="DK428" s="17"/>
      <c r="DL428" s="17"/>
      <c r="DM428" s="17"/>
      <c r="DN428" s="17"/>
      <c r="DO428" s="17"/>
      <c r="DP428" s="17"/>
      <c r="DQ428" s="17"/>
      <c r="DR428" s="17"/>
      <c r="DS428" s="17"/>
      <c r="DT428" s="17"/>
      <c r="DU428" s="17"/>
      <c r="DV428" s="17"/>
      <c r="DW428" s="17"/>
      <c r="DX428" s="17"/>
      <c r="DY428" s="17"/>
      <c r="DZ428" s="17"/>
      <c r="EA428" s="17"/>
      <c r="EB428" s="17"/>
      <c r="EC428" s="17"/>
    </row>
    <row r="429" spans="1:133" x14ac:dyDescent="0.25">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7"/>
      <c r="BD429" s="17"/>
      <c r="BE429" s="17"/>
      <c r="BF429" s="17"/>
      <c r="BG429" s="17"/>
      <c r="BH429" s="17"/>
      <c r="BI429" s="17"/>
      <c r="BJ429" s="17"/>
      <c r="BK429" s="17"/>
      <c r="BL429" s="17"/>
      <c r="BM429" s="17"/>
      <c r="BN429" s="17"/>
      <c r="BO429" s="17"/>
      <c r="BP429" s="17"/>
      <c r="BQ429" s="17"/>
      <c r="BR429" s="17"/>
      <c r="BS429" s="17"/>
      <c r="BT429" s="17"/>
      <c r="BU429" s="17"/>
      <c r="BV429" s="17"/>
      <c r="BW429" s="17"/>
      <c r="BX429" s="17"/>
      <c r="BY429" s="17"/>
      <c r="BZ429" s="17"/>
      <c r="CA429" s="17"/>
      <c r="CB429" s="17"/>
      <c r="CC429" s="17"/>
      <c r="CD429" s="17"/>
      <c r="CE429" s="17"/>
      <c r="CF429" s="17"/>
      <c r="CG429" s="17"/>
      <c r="CH429" s="17"/>
      <c r="CI429" s="17"/>
      <c r="CJ429" s="17"/>
      <c r="CK429" s="17"/>
      <c r="CL429" s="17"/>
      <c r="CM429" s="17"/>
      <c r="CN429" s="17"/>
      <c r="CO429" s="17"/>
      <c r="CP429" s="17"/>
      <c r="CQ429" s="17"/>
      <c r="CR429" s="17"/>
      <c r="CS429" s="17"/>
      <c r="CT429" s="17"/>
      <c r="CU429" s="17"/>
      <c r="CV429" s="17"/>
      <c r="CW429" s="17"/>
      <c r="CX429" s="17"/>
      <c r="CY429" s="17"/>
      <c r="CZ429" s="17"/>
      <c r="DA429" s="17"/>
      <c r="DB429" s="17"/>
      <c r="DC429" s="17"/>
      <c r="DD429" s="17"/>
      <c r="DE429" s="17"/>
      <c r="DF429" s="17"/>
      <c r="DG429" s="17"/>
      <c r="DH429" s="17"/>
      <c r="DI429" s="17"/>
      <c r="DJ429" s="17"/>
      <c r="DK429" s="17"/>
      <c r="DL429" s="17"/>
      <c r="DM429" s="17"/>
      <c r="DN429" s="17"/>
      <c r="DO429" s="17"/>
      <c r="DP429" s="17"/>
      <c r="DQ429" s="17"/>
      <c r="DR429" s="17"/>
      <c r="DS429" s="17"/>
      <c r="DT429" s="17"/>
      <c r="DU429" s="17"/>
      <c r="DV429" s="17"/>
      <c r="DW429" s="17"/>
      <c r="DX429" s="17"/>
      <c r="DY429" s="17"/>
      <c r="DZ429" s="17"/>
      <c r="EA429" s="17"/>
      <c r="EB429" s="17"/>
      <c r="EC429" s="17"/>
    </row>
    <row r="430" spans="1:133" x14ac:dyDescent="0.25">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7"/>
      <c r="BD430" s="17"/>
      <c r="BE430" s="17"/>
      <c r="BF430" s="17"/>
      <c r="BG430" s="17"/>
      <c r="BH430" s="17"/>
      <c r="BI430" s="17"/>
      <c r="BJ430" s="17"/>
      <c r="BK430" s="17"/>
      <c r="BL430" s="17"/>
      <c r="BM430" s="17"/>
      <c r="BN430" s="17"/>
      <c r="BO430" s="17"/>
      <c r="BP430" s="17"/>
      <c r="BQ430" s="17"/>
      <c r="BR430" s="17"/>
      <c r="BS430" s="17"/>
      <c r="BT430" s="17"/>
      <c r="BU430" s="17"/>
      <c r="BV430" s="17"/>
      <c r="BW430" s="17"/>
      <c r="BX430" s="17"/>
      <c r="BY430" s="17"/>
      <c r="BZ430" s="17"/>
      <c r="CA430" s="17"/>
      <c r="CB430" s="17"/>
      <c r="CC430" s="17"/>
      <c r="CD430" s="17"/>
      <c r="CE430" s="17"/>
      <c r="CF430" s="17"/>
      <c r="CG430" s="17"/>
      <c r="CH430" s="17"/>
      <c r="CI430" s="17"/>
      <c r="CJ430" s="17"/>
      <c r="CK430" s="17"/>
      <c r="CL430" s="17"/>
      <c r="CM430" s="17"/>
      <c r="CN430" s="17"/>
      <c r="CO430" s="17"/>
      <c r="CP430" s="17"/>
      <c r="CQ430" s="17"/>
      <c r="CR430" s="17"/>
      <c r="CS430" s="17"/>
      <c r="CT430" s="17"/>
      <c r="CU430" s="17"/>
      <c r="CV430" s="17"/>
      <c r="CW430" s="17"/>
      <c r="CX430" s="17"/>
      <c r="CY430" s="17"/>
      <c r="CZ430" s="17"/>
      <c r="DA430" s="17"/>
      <c r="DB430" s="17"/>
      <c r="DC430" s="17"/>
      <c r="DD430" s="17"/>
      <c r="DE430" s="17"/>
      <c r="DF430" s="17"/>
      <c r="DG430" s="17"/>
      <c r="DH430" s="17"/>
      <c r="DI430" s="17"/>
      <c r="DJ430" s="17"/>
      <c r="DK430" s="17"/>
      <c r="DL430" s="17"/>
      <c r="DM430" s="17"/>
      <c r="DN430" s="17"/>
      <c r="DO430" s="17"/>
      <c r="DP430" s="17"/>
      <c r="DQ430" s="17"/>
      <c r="DR430" s="17"/>
      <c r="DS430" s="17"/>
      <c r="DT430" s="17"/>
      <c r="DU430" s="17"/>
      <c r="DV430" s="17"/>
      <c r="DW430" s="17"/>
      <c r="DX430" s="17"/>
      <c r="DY430" s="17"/>
      <c r="DZ430" s="17"/>
      <c r="EA430" s="17"/>
      <c r="EB430" s="17"/>
      <c r="EC430" s="17"/>
    </row>
    <row r="431" spans="1:133" x14ac:dyDescent="0.25">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7"/>
      <c r="BD431" s="17"/>
      <c r="BE431" s="17"/>
      <c r="BF431" s="17"/>
      <c r="BG431" s="17"/>
      <c r="BH431" s="17"/>
      <c r="BI431" s="17"/>
      <c r="BJ431" s="17"/>
      <c r="BK431" s="17"/>
      <c r="BL431" s="17"/>
      <c r="BM431" s="17"/>
      <c r="BN431" s="17"/>
      <c r="BO431" s="17"/>
      <c r="BP431" s="17"/>
      <c r="BQ431" s="17"/>
      <c r="BR431" s="17"/>
      <c r="BS431" s="17"/>
      <c r="BT431" s="17"/>
      <c r="BU431" s="17"/>
      <c r="BV431" s="17"/>
      <c r="BW431" s="17"/>
      <c r="BX431" s="17"/>
      <c r="BY431" s="17"/>
      <c r="BZ431" s="17"/>
      <c r="CA431" s="17"/>
      <c r="CB431" s="17"/>
      <c r="CC431" s="17"/>
      <c r="CD431" s="17"/>
      <c r="CE431" s="17"/>
      <c r="CF431" s="17"/>
      <c r="CG431" s="17"/>
      <c r="CH431" s="17"/>
      <c r="CI431" s="17"/>
      <c r="CJ431" s="17"/>
      <c r="CK431" s="17"/>
      <c r="CL431" s="17"/>
      <c r="CM431" s="17"/>
      <c r="CN431" s="17"/>
      <c r="CO431" s="17"/>
      <c r="CP431" s="17"/>
      <c r="CQ431" s="17"/>
      <c r="CR431" s="17"/>
      <c r="CS431" s="17"/>
      <c r="CT431" s="17"/>
      <c r="CU431" s="17"/>
      <c r="CV431" s="17"/>
      <c r="CW431" s="17"/>
      <c r="CX431" s="17"/>
      <c r="CY431" s="17"/>
      <c r="CZ431" s="17"/>
      <c r="DA431" s="17"/>
      <c r="DB431" s="17"/>
      <c r="DC431" s="17"/>
      <c r="DD431" s="17"/>
      <c r="DE431" s="17"/>
      <c r="DF431" s="17"/>
      <c r="DG431" s="17"/>
      <c r="DH431" s="17"/>
      <c r="DI431" s="17"/>
      <c r="DJ431" s="17"/>
      <c r="DK431" s="17"/>
      <c r="DL431" s="17"/>
      <c r="DM431" s="17"/>
      <c r="DN431" s="17"/>
      <c r="DO431" s="17"/>
      <c r="DP431" s="17"/>
      <c r="DQ431" s="17"/>
      <c r="DR431" s="17"/>
      <c r="DS431" s="17"/>
      <c r="DT431" s="17"/>
      <c r="DU431" s="17"/>
      <c r="DV431" s="17"/>
      <c r="DW431" s="17"/>
      <c r="DX431" s="17"/>
      <c r="DY431" s="17"/>
      <c r="DZ431" s="17"/>
      <c r="EA431" s="17"/>
      <c r="EB431" s="17"/>
      <c r="EC431" s="17"/>
    </row>
    <row r="432" spans="1:133" x14ac:dyDescent="0.25">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7"/>
      <c r="BD432" s="17"/>
      <c r="BE432" s="17"/>
      <c r="BF432" s="17"/>
      <c r="BG432" s="17"/>
      <c r="BH432" s="17"/>
      <c r="BI432" s="17"/>
      <c r="BJ432" s="17"/>
      <c r="BK432" s="17"/>
      <c r="BL432" s="17"/>
      <c r="BM432" s="17"/>
      <c r="BN432" s="17"/>
      <c r="BO432" s="17"/>
      <c r="BP432" s="17"/>
      <c r="BQ432" s="17"/>
      <c r="BR432" s="17"/>
      <c r="BS432" s="17"/>
      <c r="BT432" s="17"/>
      <c r="BU432" s="17"/>
      <c r="BV432" s="17"/>
      <c r="BW432" s="17"/>
      <c r="BX432" s="17"/>
      <c r="BY432" s="17"/>
      <c r="BZ432" s="17"/>
      <c r="CA432" s="17"/>
      <c r="CB432" s="17"/>
      <c r="CC432" s="17"/>
      <c r="CD432" s="17"/>
      <c r="CE432" s="17"/>
      <c r="CF432" s="17"/>
      <c r="CG432" s="17"/>
      <c r="CH432" s="17"/>
      <c r="CI432" s="17"/>
      <c r="CJ432" s="17"/>
      <c r="CK432" s="17"/>
      <c r="CL432" s="17"/>
      <c r="CM432" s="17"/>
      <c r="CN432" s="17"/>
      <c r="CO432" s="17"/>
      <c r="CP432" s="17"/>
      <c r="CQ432" s="17"/>
      <c r="CR432" s="17"/>
      <c r="CS432" s="17"/>
      <c r="CT432" s="17"/>
      <c r="CU432" s="17"/>
      <c r="CV432" s="17"/>
      <c r="CW432" s="17"/>
      <c r="CX432" s="17"/>
      <c r="CY432" s="17"/>
      <c r="CZ432" s="17"/>
      <c r="DA432" s="17"/>
      <c r="DB432" s="17"/>
      <c r="DC432" s="17"/>
      <c r="DD432" s="17"/>
      <c r="DE432" s="17"/>
      <c r="DF432" s="17"/>
      <c r="DG432" s="17"/>
      <c r="DH432" s="17"/>
      <c r="DI432" s="17"/>
      <c r="DJ432" s="17"/>
      <c r="DK432" s="17"/>
      <c r="DL432" s="17"/>
      <c r="DM432" s="17"/>
      <c r="DN432" s="17"/>
      <c r="DO432" s="17"/>
      <c r="DP432" s="17"/>
      <c r="DQ432" s="17"/>
      <c r="DR432" s="17"/>
      <c r="DS432" s="17"/>
      <c r="DT432" s="17"/>
      <c r="DU432" s="17"/>
      <c r="DV432" s="17"/>
      <c r="DW432" s="17"/>
      <c r="DX432" s="17"/>
      <c r="DY432" s="17"/>
      <c r="DZ432" s="17"/>
      <c r="EA432" s="17"/>
      <c r="EB432" s="17"/>
      <c r="EC432" s="17"/>
    </row>
    <row r="433" spans="1:133" x14ac:dyDescent="0.25">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7"/>
      <c r="BD433" s="17"/>
      <c r="BE433" s="17"/>
      <c r="BF433" s="17"/>
      <c r="BG433" s="17"/>
      <c r="BH433" s="17"/>
      <c r="BI433" s="17"/>
      <c r="BJ433" s="17"/>
      <c r="BK433" s="17"/>
      <c r="BL433" s="17"/>
      <c r="BM433" s="17"/>
      <c r="BN433" s="17"/>
      <c r="BO433" s="17"/>
      <c r="BP433" s="17"/>
      <c r="BQ433" s="17"/>
      <c r="BR433" s="17"/>
      <c r="BS433" s="17"/>
      <c r="BT433" s="17"/>
      <c r="BU433" s="17"/>
      <c r="BV433" s="17"/>
      <c r="BW433" s="17"/>
      <c r="BX433" s="17"/>
      <c r="BY433" s="17"/>
      <c r="BZ433" s="17"/>
      <c r="CA433" s="17"/>
      <c r="CB433" s="17"/>
      <c r="CC433" s="17"/>
      <c r="CD433" s="17"/>
      <c r="CE433" s="17"/>
      <c r="CF433" s="17"/>
      <c r="CG433" s="17"/>
      <c r="CH433" s="17"/>
      <c r="CI433" s="17"/>
      <c r="CJ433" s="17"/>
      <c r="CK433" s="17"/>
      <c r="CL433" s="17"/>
      <c r="CM433" s="17"/>
      <c r="CN433" s="17"/>
      <c r="CO433" s="17"/>
      <c r="CP433" s="17"/>
      <c r="CQ433" s="17"/>
      <c r="CR433" s="17"/>
      <c r="CS433" s="17"/>
      <c r="CT433" s="17"/>
      <c r="CU433" s="17"/>
      <c r="CV433" s="17"/>
      <c r="CW433" s="17"/>
      <c r="CX433" s="17"/>
      <c r="CY433" s="17"/>
      <c r="CZ433" s="17"/>
      <c r="DA433" s="17"/>
      <c r="DB433" s="17"/>
      <c r="DC433" s="17"/>
      <c r="DD433" s="17"/>
      <c r="DE433" s="17"/>
      <c r="DF433" s="17"/>
      <c r="DG433" s="17"/>
      <c r="DH433" s="17"/>
      <c r="DI433" s="17"/>
      <c r="DJ433" s="17"/>
      <c r="DK433" s="17"/>
      <c r="DL433" s="17"/>
      <c r="DM433" s="17"/>
      <c r="DN433" s="17"/>
      <c r="DO433" s="17"/>
      <c r="DP433" s="17"/>
      <c r="DQ433" s="17"/>
      <c r="DR433" s="17"/>
      <c r="DS433" s="17"/>
      <c r="DT433" s="17"/>
      <c r="DU433" s="17"/>
      <c r="DV433" s="17"/>
      <c r="DW433" s="17"/>
      <c r="DX433" s="17"/>
      <c r="DY433" s="17"/>
      <c r="DZ433" s="17"/>
      <c r="EA433" s="17"/>
      <c r="EB433" s="17"/>
      <c r="EC433" s="17"/>
    </row>
    <row r="434" spans="1:133" x14ac:dyDescent="0.25">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7"/>
      <c r="BD434" s="17"/>
      <c r="BE434" s="17"/>
      <c r="BF434" s="17"/>
      <c r="BG434" s="17"/>
      <c r="BH434" s="17"/>
      <c r="BI434" s="17"/>
      <c r="BJ434" s="17"/>
      <c r="BK434" s="17"/>
      <c r="BL434" s="17"/>
      <c r="BM434" s="17"/>
      <c r="BN434" s="17"/>
      <c r="BO434" s="17"/>
      <c r="BP434" s="17"/>
      <c r="BQ434" s="17"/>
      <c r="BR434" s="17"/>
      <c r="BS434" s="17"/>
      <c r="BT434" s="17"/>
      <c r="BU434" s="17"/>
      <c r="BV434" s="17"/>
      <c r="BW434" s="17"/>
      <c r="BX434" s="17"/>
      <c r="BY434" s="17"/>
      <c r="BZ434" s="17"/>
      <c r="CA434" s="17"/>
      <c r="CB434" s="17"/>
      <c r="CC434" s="17"/>
      <c r="CD434" s="17"/>
      <c r="CE434" s="17"/>
      <c r="CF434" s="17"/>
      <c r="CG434" s="17"/>
      <c r="CH434" s="17"/>
      <c r="CI434" s="17"/>
      <c r="CJ434" s="17"/>
      <c r="CK434" s="17"/>
      <c r="CL434" s="17"/>
      <c r="CM434" s="17"/>
      <c r="CN434" s="17"/>
      <c r="CO434" s="17"/>
      <c r="CP434" s="17"/>
      <c r="CQ434" s="17"/>
      <c r="CR434" s="17"/>
      <c r="CS434" s="17"/>
      <c r="CT434" s="17"/>
      <c r="CU434" s="17"/>
      <c r="CV434" s="17"/>
      <c r="CW434" s="17"/>
      <c r="CX434" s="17"/>
      <c r="CY434" s="17"/>
      <c r="CZ434" s="17"/>
      <c r="DA434" s="17"/>
      <c r="DB434" s="17"/>
      <c r="DC434" s="17"/>
      <c r="DD434" s="17"/>
      <c r="DE434" s="17"/>
      <c r="DF434" s="17"/>
      <c r="DG434" s="17"/>
      <c r="DH434" s="17"/>
      <c r="DI434" s="17"/>
      <c r="DJ434" s="17"/>
      <c r="DK434" s="17"/>
      <c r="DL434" s="17"/>
      <c r="DM434" s="17"/>
      <c r="DN434" s="17"/>
      <c r="DO434" s="17"/>
      <c r="DP434" s="17"/>
      <c r="DQ434" s="17"/>
      <c r="DR434" s="17"/>
      <c r="DS434" s="17"/>
      <c r="DT434" s="17"/>
      <c r="DU434" s="17"/>
      <c r="DV434" s="17"/>
      <c r="DW434" s="17"/>
      <c r="DX434" s="17"/>
      <c r="DY434" s="17"/>
      <c r="DZ434" s="17"/>
      <c r="EA434" s="17"/>
      <c r="EB434" s="17"/>
      <c r="EC434" s="17"/>
    </row>
    <row r="435" spans="1:133" x14ac:dyDescent="0.2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7"/>
      <c r="BD435" s="17"/>
      <c r="BE435" s="17"/>
      <c r="BF435" s="17"/>
      <c r="BG435" s="17"/>
      <c r="BH435" s="17"/>
      <c r="BI435" s="17"/>
      <c r="BJ435" s="17"/>
      <c r="BK435" s="17"/>
      <c r="BL435" s="17"/>
      <c r="BM435" s="17"/>
      <c r="BN435" s="17"/>
      <c r="BO435" s="17"/>
      <c r="BP435" s="17"/>
      <c r="BQ435" s="17"/>
      <c r="BR435" s="17"/>
      <c r="BS435" s="17"/>
      <c r="BT435" s="17"/>
      <c r="BU435" s="17"/>
      <c r="BV435" s="17"/>
      <c r="BW435" s="17"/>
      <c r="BX435" s="17"/>
      <c r="BY435" s="17"/>
      <c r="BZ435" s="17"/>
      <c r="CA435" s="17"/>
      <c r="CB435" s="17"/>
      <c r="CC435" s="17"/>
      <c r="CD435" s="17"/>
      <c r="CE435" s="17"/>
      <c r="CF435" s="17"/>
      <c r="CG435" s="17"/>
      <c r="CH435" s="17"/>
      <c r="CI435" s="17"/>
      <c r="CJ435" s="17"/>
      <c r="CK435" s="17"/>
      <c r="CL435" s="17"/>
      <c r="CM435" s="17"/>
      <c r="CN435" s="17"/>
      <c r="CO435" s="17"/>
      <c r="CP435" s="17"/>
      <c r="CQ435" s="17"/>
      <c r="CR435" s="17"/>
      <c r="CS435" s="17"/>
      <c r="CT435" s="17"/>
      <c r="CU435" s="17"/>
      <c r="CV435" s="17"/>
      <c r="CW435" s="17"/>
      <c r="CX435" s="17"/>
      <c r="CY435" s="17"/>
      <c r="CZ435" s="17"/>
      <c r="DA435" s="17"/>
      <c r="DB435" s="17"/>
      <c r="DC435" s="17"/>
      <c r="DD435" s="17"/>
      <c r="DE435" s="17"/>
      <c r="DF435" s="17"/>
      <c r="DG435" s="17"/>
      <c r="DH435" s="17"/>
      <c r="DI435" s="17"/>
      <c r="DJ435" s="17"/>
      <c r="DK435" s="17"/>
      <c r="DL435" s="17"/>
      <c r="DM435" s="17"/>
      <c r="DN435" s="17"/>
      <c r="DO435" s="17"/>
      <c r="DP435" s="17"/>
      <c r="DQ435" s="17"/>
      <c r="DR435" s="17"/>
      <c r="DS435" s="17"/>
      <c r="DT435" s="17"/>
      <c r="DU435" s="17"/>
      <c r="DV435" s="17"/>
      <c r="DW435" s="17"/>
      <c r="DX435" s="17"/>
      <c r="DY435" s="17"/>
      <c r="DZ435" s="17"/>
      <c r="EA435" s="17"/>
      <c r="EB435" s="17"/>
      <c r="EC435" s="17"/>
    </row>
    <row r="436" spans="1:133" x14ac:dyDescent="0.25">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7"/>
      <c r="BD436" s="17"/>
      <c r="BE436" s="17"/>
      <c r="BF436" s="17"/>
      <c r="BG436" s="17"/>
      <c r="BH436" s="17"/>
      <c r="BI436" s="17"/>
      <c r="BJ436" s="17"/>
      <c r="BK436" s="17"/>
      <c r="BL436" s="17"/>
      <c r="BM436" s="17"/>
      <c r="BN436" s="17"/>
      <c r="BO436" s="17"/>
      <c r="BP436" s="17"/>
      <c r="BQ436" s="17"/>
      <c r="BR436" s="17"/>
      <c r="BS436" s="17"/>
      <c r="BT436" s="17"/>
      <c r="BU436" s="17"/>
      <c r="BV436" s="17"/>
      <c r="BW436" s="17"/>
      <c r="BX436" s="17"/>
      <c r="BY436" s="17"/>
      <c r="BZ436" s="17"/>
      <c r="CA436" s="17"/>
      <c r="CB436" s="17"/>
      <c r="CC436" s="17"/>
      <c r="CD436" s="17"/>
      <c r="CE436" s="17"/>
      <c r="CF436" s="17"/>
      <c r="CG436" s="17"/>
      <c r="CH436" s="17"/>
      <c r="CI436" s="17"/>
      <c r="CJ436" s="17"/>
      <c r="CK436" s="17"/>
      <c r="CL436" s="17"/>
      <c r="CM436" s="17"/>
      <c r="CN436" s="17"/>
      <c r="CO436" s="17"/>
      <c r="CP436" s="17"/>
      <c r="CQ436" s="17"/>
      <c r="CR436" s="17"/>
      <c r="CS436" s="17"/>
      <c r="CT436" s="17"/>
      <c r="CU436" s="17"/>
      <c r="CV436" s="17"/>
      <c r="CW436" s="17"/>
      <c r="CX436" s="17"/>
      <c r="CY436" s="17"/>
      <c r="CZ436" s="17"/>
      <c r="DA436" s="17"/>
      <c r="DB436" s="17"/>
      <c r="DC436" s="17"/>
      <c r="DD436" s="17"/>
      <c r="DE436" s="17"/>
      <c r="DF436" s="17"/>
      <c r="DG436" s="17"/>
      <c r="DH436" s="17"/>
      <c r="DI436" s="17"/>
      <c r="DJ436" s="17"/>
      <c r="DK436" s="17"/>
      <c r="DL436" s="17"/>
      <c r="DM436" s="17"/>
      <c r="DN436" s="17"/>
      <c r="DO436" s="17"/>
      <c r="DP436" s="17"/>
      <c r="DQ436" s="17"/>
      <c r="DR436" s="17"/>
      <c r="DS436" s="17"/>
      <c r="DT436" s="17"/>
      <c r="DU436" s="17"/>
      <c r="DV436" s="17"/>
      <c r="DW436" s="17"/>
      <c r="DX436" s="17"/>
      <c r="DY436" s="17"/>
      <c r="DZ436" s="17"/>
      <c r="EA436" s="17"/>
      <c r="EB436" s="17"/>
      <c r="EC436" s="17"/>
    </row>
    <row r="437" spans="1:133" x14ac:dyDescent="0.25">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c r="BF437" s="17"/>
      <c r="BG437" s="17"/>
      <c r="BH437" s="17"/>
      <c r="BI437" s="17"/>
      <c r="BJ437" s="17"/>
      <c r="BK437" s="17"/>
      <c r="BL437" s="17"/>
      <c r="BM437" s="17"/>
      <c r="BN437" s="17"/>
      <c r="BO437" s="17"/>
      <c r="BP437" s="17"/>
      <c r="BQ437" s="17"/>
      <c r="BR437" s="17"/>
      <c r="BS437" s="17"/>
      <c r="BT437" s="17"/>
      <c r="BU437" s="17"/>
      <c r="BV437" s="17"/>
      <c r="BW437" s="17"/>
      <c r="BX437" s="17"/>
      <c r="BY437" s="17"/>
      <c r="BZ437" s="17"/>
      <c r="CA437" s="17"/>
      <c r="CB437" s="17"/>
      <c r="CC437" s="17"/>
      <c r="CD437" s="17"/>
      <c r="CE437" s="17"/>
      <c r="CF437" s="17"/>
      <c r="CG437" s="17"/>
      <c r="CH437" s="17"/>
      <c r="CI437" s="17"/>
      <c r="CJ437" s="17"/>
      <c r="CK437" s="17"/>
      <c r="CL437" s="17"/>
      <c r="CM437" s="17"/>
      <c r="CN437" s="17"/>
      <c r="CO437" s="17"/>
      <c r="CP437" s="17"/>
      <c r="CQ437" s="17"/>
      <c r="CR437" s="17"/>
      <c r="CS437" s="17"/>
      <c r="CT437" s="17"/>
      <c r="CU437" s="17"/>
      <c r="CV437" s="17"/>
      <c r="CW437" s="17"/>
      <c r="CX437" s="17"/>
      <c r="CY437" s="17"/>
      <c r="CZ437" s="17"/>
      <c r="DA437" s="17"/>
      <c r="DB437" s="17"/>
      <c r="DC437" s="17"/>
      <c r="DD437" s="17"/>
      <c r="DE437" s="17"/>
      <c r="DF437" s="17"/>
      <c r="DG437" s="17"/>
      <c r="DH437" s="17"/>
      <c r="DI437" s="17"/>
      <c r="DJ437" s="17"/>
      <c r="DK437" s="17"/>
      <c r="DL437" s="17"/>
      <c r="DM437" s="17"/>
      <c r="DN437" s="17"/>
      <c r="DO437" s="17"/>
      <c r="DP437" s="17"/>
      <c r="DQ437" s="17"/>
      <c r="DR437" s="17"/>
      <c r="DS437" s="17"/>
      <c r="DT437" s="17"/>
      <c r="DU437" s="17"/>
      <c r="DV437" s="17"/>
      <c r="DW437" s="17"/>
      <c r="DX437" s="17"/>
      <c r="DY437" s="17"/>
      <c r="DZ437" s="17"/>
      <c r="EA437" s="17"/>
      <c r="EB437" s="17"/>
      <c r="EC437" s="17"/>
    </row>
    <row r="438" spans="1:133" x14ac:dyDescent="0.25">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7"/>
      <c r="BD438" s="17"/>
      <c r="BE438" s="17"/>
      <c r="BF438" s="17"/>
      <c r="BG438" s="17"/>
      <c r="BH438" s="17"/>
      <c r="BI438" s="17"/>
      <c r="BJ438" s="17"/>
      <c r="BK438" s="17"/>
      <c r="BL438" s="17"/>
      <c r="BM438" s="17"/>
      <c r="BN438" s="17"/>
      <c r="BO438" s="17"/>
      <c r="BP438" s="17"/>
      <c r="BQ438" s="17"/>
      <c r="BR438" s="17"/>
      <c r="BS438" s="17"/>
      <c r="BT438" s="17"/>
      <c r="BU438" s="17"/>
      <c r="BV438" s="17"/>
      <c r="BW438" s="17"/>
      <c r="BX438" s="17"/>
      <c r="BY438" s="17"/>
      <c r="BZ438" s="17"/>
      <c r="CA438" s="17"/>
      <c r="CB438" s="17"/>
      <c r="CC438" s="17"/>
      <c r="CD438" s="17"/>
      <c r="CE438" s="17"/>
      <c r="CF438" s="17"/>
      <c r="CG438" s="17"/>
      <c r="CH438" s="17"/>
      <c r="CI438" s="17"/>
      <c r="CJ438" s="17"/>
      <c r="CK438" s="17"/>
      <c r="CL438" s="17"/>
      <c r="CM438" s="17"/>
      <c r="CN438" s="17"/>
      <c r="CO438" s="17"/>
      <c r="CP438" s="17"/>
      <c r="CQ438" s="17"/>
      <c r="CR438" s="17"/>
      <c r="CS438" s="17"/>
      <c r="CT438" s="17"/>
      <c r="CU438" s="17"/>
      <c r="CV438" s="17"/>
      <c r="CW438" s="17"/>
      <c r="CX438" s="17"/>
      <c r="CY438" s="17"/>
      <c r="CZ438" s="17"/>
      <c r="DA438" s="17"/>
      <c r="DB438" s="17"/>
      <c r="DC438" s="17"/>
      <c r="DD438" s="17"/>
      <c r="DE438" s="17"/>
      <c r="DF438" s="17"/>
      <c r="DG438" s="17"/>
      <c r="DH438" s="17"/>
      <c r="DI438" s="17"/>
      <c r="DJ438" s="17"/>
      <c r="DK438" s="17"/>
      <c r="DL438" s="17"/>
      <c r="DM438" s="17"/>
      <c r="DN438" s="17"/>
      <c r="DO438" s="17"/>
      <c r="DP438" s="17"/>
      <c r="DQ438" s="17"/>
      <c r="DR438" s="17"/>
      <c r="DS438" s="17"/>
      <c r="DT438" s="17"/>
      <c r="DU438" s="17"/>
      <c r="DV438" s="17"/>
      <c r="DW438" s="17"/>
      <c r="DX438" s="17"/>
      <c r="DY438" s="17"/>
      <c r="DZ438" s="17"/>
      <c r="EA438" s="17"/>
      <c r="EB438" s="17"/>
      <c r="EC438" s="17"/>
    </row>
    <row r="439" spans="1:133" x14ac:dyDescent="0.25">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7"/>
      <c r="BD439" s="17"/>
      <c r="BE439" s="17"/>
      <c r="BF439" s="17"/>
      <c r="BG439" s="17"/>
      <c r="BH439" s="17"/>
      <c r="BI439" s="17"/>
      <c r="BJ439" s="17"/>
      <c r="BK439" s="17"/>
      <c r="BL439" s="17"/>
      <c r="BM439" s="17"/>
      <c r="BN439" s="17"/>
      <c r="BO439" s="17"/>
      <c r="BP439" s="17"/>
      <c r="BQ439" s="17"/>
      <c r="BR439" s="17"/>
      <c r="BS439" s="17"/>
      <c r="BT439" s="17"/>
      <c r="BU439" s="17"/>
      <c r="BV439" s="17"/>
      <c r="BW439" s="17"/>
      <c r="BX439" s="17"/>
      <c r="BY439" s="17"/>
      <c r="BZ439" s="17"/>
      <c r="CA439" s="17"/>
      <c r="CB439" s="17"/>
      <c r="CC439" s="17"/>
      <c r="CD439" s="17"/>
      <c r="CE439" s="17"/>
      <c r="CF439" s="17"/>
      <c r="CG439" s="17"/>
      <c r="CH439" s="17"/>
      <c r="CI439" s="17"/>
      <c r="CJ439" s="17"/>
      <c r="CK439" s="17"/>
      <c r="CL439" s="17"/>
      <c r="CM439" s="17"/>
      <c r="CN439" s="17"/>
      <c r="CO439" s="17"/>
      <c r="CP439" s="17"/>
      <c r="CQ439" s="17"/>
      <c r="CR439" s="17"/>
      <c r="CS439" s="17"/>
      <c r="CT439" s="17"/>
      <c r="CU439" s="17"/>
      <c r="CV439" s="17"/>
      <c r="CW439" s="17"/>
      <c r="CX439" s="17"/>
      <c r="CY439" s="17"/>
      <c r="CZ439" s="17"/>
      <c r="DA439" s="17"/>
      <c r="DB439" s="17"/>
      <c r="DC439" s="17"/>
      <c r="DD439" s="17"/>
      <c r="DE439" s="17"/>
      <c r="DF439" s="17"/>
      <c r="DG439" s="17"/>
      <c r="DH439" s="17"/>
      <c r="DI439" s="17"/>
      <c r="DJ439" s="17"/>
      <c r="DK439" s="17"/>
      <c r="DL439" s="17"/>
      <c r="DM439" s="17"/>
      <c r="DN439" s="17"/>
      <c r="DO439" s="17"/>
      <c r="DP439" s="17"/>
      <c r="DQ439" s="17"/>
      <c r="DR439" s="17"/>
      <c r="DS439" s="17"/>
      <c r="DT439" s="17"/>
      <c r="DU439" s="17"/>
      <c r="DV439" s="17"/>
      <c r="DW439" s="17"/>
      <c r="DX439" s="17"/>
      <c r="DY439" s="17"/>
      <c r="DZ439" s="17"/>
      <c r="EA439" s="17"/>
      <c r="EB439" s="17"/>
      <c r="EC439" s="17"/>
    </row>
    <row r="440" spans="1:133" x14ac:dyDescent="0.25">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c r="BC440" s="17"/>
      <c r="BD440" s="17"/>
      <c r="BE440" s="17"/>
      <c r="BF440" s="17"/>
      <c r="BG440" s="17"/>
      <c r="BH440" s="17"/>
      <c r="BI440" s="17"/>
      <c r="BJ440" s="17"/>
      <c r="BK440" s="17"/>
      <c r="BL440" s="17"/>
      <c r="BM440" s="17"/>
      <c r="BN440" s="17"/>
      <c r="BO440" s="17"/>
      <c r="BP440" s="17"/>
      <c r="BQ440" s="17"/>
      <c r="BR440" s="17"/>
      <c r="BS440" s="17"/>
      <c r="BT440" s="17"/>
      <c r="BU440" s="17"/>
      <c r="BV440" s="17"/>
      <c r="BW440" s="17"/>
      <c r="BX440" s="17"/>
      <c r="BY440" s="17"/>
      <c r="BZ440" s="17"/>
      <c r="CA440" s="17"/>
      <c r="CB440" s="17"/>
      <c r="CC440" s="17"/>
      <c r="CD440" s="17"/>
      <c r="CE440" s="17"/>
      <c r="CF440" s="17"/>
      <c r="CG440" s="17"/>
      <c r="CH440" s="17"/>
      <c r="CI440" s="17"/>
      <c r="CJ440" s="17"/>
      <c r="CK440" s="17"/>
      <c r="CL440" s="17"/>
      <c r="CM440" s="17"/>
      <c r="CN440" s="17"/>
      <c r="CO440" s="17"/>
      <c r="CP440" s="17"/>
      <c r="CQ440" s="17"/>
      <c r="CR440" s="17"/>
      <c r="CS440" s="17"/>
      <c r="CT440" s="17"/>
      <c r="CU440" s="17"/>
      <c r="CV440" s="17"/>
      <c r="CW440" s="17"/>
      <c r="CX440" s="17"/>
      <c r="CY440" s="17"/>
      <c r="CZ440" s="17"/>
      <c r="DA440" s="17"/>
      <c r="DB440" s="17"/>
      <c r="DC440" s="17"/>
      <c r="DD440" s="17"/>
      <c r="DE440" s="17"/>
      <c r="DF440" s="17"/>
      <c r="DG440" s="17"/>
      <c r="DH440" s="17"/>
      <c r="DI440" s="17"/>
      <c r="DJ440" s="17"/>
      <c r="DK440" s="17"/>
      <c r="DL440" s="17"/>
      <c r="DM440" s="17"/>
      <c r="DN440" s="17"/>
      <c r="DO440" s="17"/>
      <c r="DP440" s="17"/>
      <c r="DQ440" s="17"/>
      <c r="DR440" s="17"/>
      <c r="DS440" s="17"/>
      <c r="DT440" s="17"/>
      <c r="DU440" s="17"/>
      <c r="DV440" s="17"/>
      <c r="DW440" s="17"/>
      <c r="DX440" s="17"/>
      <c r="DY440" s="17"/>
      <c r="DZ440" s="17"/>
      <c r="EA440" s="17"/>
      <c r="EB440" s="17"/>
      <c r="EC440" s="17"/>
    </row>
    <row r="441" spans="1:133" x14ac:dyDescent="0.25">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7"/>
      <c r="BD441" s="17"/>
      <c r="BE441" s="17"/>
      <c r="BF441" s="17"/>
      <c r="BG441" s="17"/>
      <c r="BH441" s="17"/>
      <c r="BI441" s="17"/>
      <c r="BJ441" s="17"/>
      <c r="BK441" s="17"/>
      <c r="BL441" s="17"/>
      <c r="BM441" s="17"/>
      <c r="BN441" s="17"/>
      <c r="BO441" s="17"/>
      <c r="BP441" s="17"/>
      <c r="BQ441" s="17"/>
      <c r="BR441" s="17"/>
      <c r="BS441" s="17"/>
      <c r="BT441" s="17"/>
      <c r="BU441" s="17"/>
      <c r="BV441" s="17"/>
      <c r="BW441" s="17"/>
      <c r="BX441" s="17"/>
      <c r="BY441" s="17"/>
      <c r="BZ441" s="17"/>
      <c r="CA441" s="17"/>
      <c r="CB441" s="17"/>
      <c r="CC441" s="17"/>
      <c r="CD441" s="17"/>
      <c r="CE441" s="17"/>
      <c r="CF441" s="17"/>
      <c r="CG441" s="17"/>
      <c r="CH441" s="17"/>
      <c r="CI441" s="17"/>
      <c r="CJ441" s="17"/>
      <c r="CK441" s="17"/>
      <c r="CL441" s="17"/>
      <c r="CM441" s="17"/>
      <c r="CN441" s="17"/>
      <c r="CO441" s="17"/>
      <c r="CP441" s="17"/>
      <c r="CQ441" s="17"/>
      <c r="CR441" s="17"/>
      <c r="CS441" s="17"/>
      <c r="CT441" s="17"/>
      <c r="CU441" s="17"/>
      <c r="CV441" s="17"/>
      <c r="CW441" s="17"/>
      <c r="CX441" s="17"/>
      <c r="CY441" s="17"/>
      <c r="CZ441" s="17"/>
      <c r="DA441" s="17"/>
      <c r="DB441" s="17"/>
      <c r="DC441" s="17"/>
      <c r="DD441" s="17"/>
      <c r="DE441" s="17"/>
      <c r="DF441" s="17"/>
      <c r="DG441" s="17"/>
      <c r="DH441" s="17"/>
      <c r="DI441" s="17"/>
      <c r="DJ441" s="17"/>
      <c r="DK441" s="17"/>
      <c r="DL441" s="17"/>
      <c r="DM441" s="17"/>
      <c r="DN441" s="17"/>
      <c r="DO441" s="17"/>
      <c r="DP441" s="17"/>
      <c r="DQ441" s="17"/>
      <c r="DR441" s="17"/>
      <c r="DS441" s="17"/>
      <c r="DT441" s="17"/>
      <c r="DU441" s="17"/>
      <c r="DV441" s="17"/>
      <c r="DW441" s="17"/>
      <c r="DX441" s="17"/>
      <c r="DY441" s="17"/>
      <c r="DZ441" s="17"/>
      <c r="EA441" s="17"/>
      <c r="EB441" s="17"/>
      <c r="EC441" s="17"/>
    </row>
    <row r="442" spans="1:133" x14ac:dyDescent="0.25">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7"/>
      <c r="BD442" s="17"/>
      <c r="BE442" s="17"/>
      <c r="BF442" s="17"/>
      <c r="BG442" s="17"/>
      <c r="BH442" s="17"/>
      <c r="BI442" s="17"/>
      <c r="BJ442" s="17"/>
      <c r="BK442" s="17"/>
      <c r="BL442" s="17"/>
      <c r="BM442" s="17"/>
      <c r="BN442" s="17"/>
      <c r="BO442" s="17"/>
      <c r="BP442" s="17"/>
      <c r="BQ442" s="17"/>
      <c r="BR442" s="17"/>
      <c r="BS442" s="17"/>
      <c r="BT442" s="17"/>
      <c r="BU442" s="17"/>
      <c r="BV442" s="17"/>
      <c r="BW442" s="17"/>
      <c r="BX442" s="17"/>
      <c r="BY442" s="17"/>
      <c r="BZ442" s="17"/>
      <c r="CA442" s="17"/>
      <c r="CB442" s="17"/>
      <c r="CC442" s="17"/>
      <c r="CD442" s="17"/>
      <c r="CE442" s="17"/>
      <c r="CF442" s="17"/>
      <c r="CG442" s="17"/>
      <c r="CH442" s="17"/>
      <c r="CI442" s="17"/>
      <c r="CJ442" s="17"/>
      <c r="CK442" s="17"/>
      <c r="CL442" s="17"/>
      <c r="CM442" s="17"/>
      <c r="CN442" s="17"/>
      <c r="CO442" s="17"/>
      <c r="CP442" s="17"/>
      <c r="CQ442" s="17"/>
      <c r="CR442" s="17"/>
      <c r="CS442" s="17"/>
      <c r="CT442" s="17"/>
      <c r="CU442" s="17"/>
      <c r="CV442" s="17"/>
      <c r="CW442" s="17"/>
      <c r="CX442" s="17"/>
      <c r="CY442" s="17"/>
      <c r="CZ442" s="17"/>
      <c r="DA442" s="17"/>
      <c r="DB442" s="17"/>
      <c r="DC442" s="17"/>
      <c r="DD442" s="17"/>
      <c r="DE442" s="17"/>
      <c r="DF442" s="17"/>
      <c r="DG442" s="17"/>
      <c r="DH442" s="17"/>
      <c r="DI442" s="17"/>
      <c r="DJ442" s="17"/>
      <c r="DK442" s="17"/>
      <c r="DL442" s="17"/>
      <c r="DM442" s="17"/>
      <c r="DN442" s="17"/>
      <c r="DO442" s="17"/>
      <c r="DP442" s="17"/>
      <c r="DQ442" s="17"/>
      <c r="DR442" s="17"/>
      <c r="DS442" s="17"/>
      <c r="DT442" s="17"/>
      <c r="DU442" s="17"/>
      <c r="DV442" s="17"/>
      <c r="DW442" s="17"/>
      <c r="DX442" s="17"/>
      <c r="DY442" s="17"/>
      <c r="DZ442" s="17"/>
      <c r="EA442" s="17"/>
      <c r="EB442" s="17"/>
      <c r="EC442" s="17"/>
    </row>
    <row r="443" spans="1:133" x14ac:dyDescent="0.25">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c r="BC443" s="17"/>
      <c r="BD443" s="17"/>
      <c r="BE443" s="17"/>
      <c r="BF443" s="17"/>
      <c r="BG443" s="17"/>
      <c r="BH443" s="17"/>
      <c r="BI443" s="17"/>
      <c r="BJ443" s="17"/>
      <c r="BK443" s="17"/>
      <c r="BL443" s="17"/>
      <c r="BM443" s="17"/>
      <c r="BN443" s="17"/>
      <c r="BO443" s="17"/>
      <c r="BP443" s="17"/>
      <c r="BQ443" s="17"/>
      <c r="BR443" s="17"/>
      <c r="BS443" s="17"/>
      <c r="BT443" s="17"/>
      <c r="BU443" s="17"/>
      <c r="BV443" s="17"/>
      <c r="BW443" s="17"/>
      <c r="BX443" s="17"/>
      <c r="BY443" s="17"/>
      <c r="BZ443" s="17"/>
      <c r="CA443" s="17"/>
      <c r="CB443" s="17"/>
      <c r="CC443" s="17"/>
      <c r="CD443" s="17"/>
      <c r="CE443" s="17"/>
      <c r="CF443" s="17"/>
      <c r="CG443" s="17"/>
      <c r="CH443" s="17"/>
      <c r="CI443" s="17"/>
      <c r="CJ443" s="17"/>
      <c r="CK443" s="17"/>
      <c r="CL443" s="17"/>
      <c r="CM443" s="17"/>
      <c r="CN443" s="17"/>
      <c r="CO443" s="17"/>
      <c r="CP443" s="17"/>
      <c r="CQ443" s="17"/>
      <c r="CR443" s="17"/>
      <c r="CS443" s="17"/>
      <c r="CT443" s="17"/>
      <c r="CU443" s="17"/>
      <c r="CV443" s="17"/>
      <c r="CW443" s="17"/>
      <c r="CX443" s="17"/>
      <c r="CY443" s="17"/>
      <c r="CZ443" s="17"/>
      <c r="DA443" s="17"/>
      <c r="DB443" s="17"/>
      <c r="DC443" s="17"/>
      <c r="DD443" s="17"/>
      <c r="DE443" s="17"/>
      <c r="DF443" s="17"/>
      <c r="DG443" s="17"/>
      <c r="DH443" s="17"/>
      <c r="DI443" s="17"/>
      <c r="DJ443" s="17"/>
      <c r="DK443" s="17"/>
      <c r="DL443" s="17"/>
      <c r="DM443" s="17"/>
      <c r="DN443" s="17"/>
      <c r="DO443" s="17"/>
      <c r="DP443" s="17"/>
      <c r="DQ443" s="17"/>
      <c r="DR443" s="17"/>
      <c r="DS443" s="17"/>
      <c r="DT443" s="17"/>
      <c r="DU443" s="17"/>
      <c r="DV443" s="17"/>
      <c r="DW443" s="17"/>
      <c r="DX443" s="17"/>
      <c r="DY443" s="17"/>
      <c r="DZ443" s="17"/>
      <c r="EA443" s="17"/>
      <c r="EB443" s="17"/>
      <c r="EC443" s="17"/>
    </row>
    <row r="444" spans="1:133" x14ac:dyDescent="0.25">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7"/>
      <c r="BD444" s="17"/>
      <c r="BE444" s="17"/>
      <c r="BF444" s="17"/>
      <c r="BG444" s="17"/>
      <c r="BH444" s="17"/>
      <c r="BI444" s="17"/>
      <c r="BJ444" s="17"/>
      <c r="BK444" s="17"/>
      <c r="BL444" s="17"/>
      <c r="BM444" s="17"/>
      <c r="BN444" s="17"/>
      <c r="BO444" s="17"/>
      <c r="BP444" s="17"/>
      <c r="BQ444" s="17"/>
      <c r="BR444" s="17"/>
      <c r="BS444" s="17"/>
      <c r="BT444" s="17"/>
      <c r="BU444" s="17"/>
      <c r="BV444" s="17"/>
      <c r="BW444" s="17"/>
      <c r="BX444" s="17"/>
      <c r="BY444" s="17"/>
      <c r="BZ444" s="17"/>
      <c r="CA444" s="17"/>
      <c r="CB444" s="17"/>
      <c r="CC444" s="17"/>
      <c r="CD444" s="17"/>
      <c r="CE444" s="17"/>
      <c r="CF444" s="17"/>
      <c r="CG444" s="17"/>
      <c r="CH444" s="17"/>
      <c r="CI444" s="17"/>
      <c r="CJ444" s="17"/>
      <c r="CK444" s="17"/>
      <c r="CL444" s="17"/>
      <c r="CM444" s="17"/>
      <c r="CN444" s="17"/>
      <c r="CO444" s="17"/>
      <c r="CP444" s="17"/>
      <c r="CQ444" s="17"/>
      <c r="CR444" s="17"/>
      <c r="CS444" s="17"/>
      <c r="CT444" s="17"/>
      <c r="CU444" s="17"/>
      <c r="CV444" s="17"/>
      <c r="CW444" s="17"/>
      <c r="CX444" s="17"/>
      <c r="CY444" s="17"/>
      <c r="CZ444" s="17"/>
      <c r="DA444" s="17"/>
      <c r="DB444" s="17"/>
      <c r="DC444" s="17"/>
      <c r="DD444" s="17"/>
      <c r="DE444" s="17"/>
      <c r="DF444" s="17"/>
      <c r="DG444" s="17"/>
      <c r="DH444" s="17"/>
      <c r="DI444" s="17"/>
      <c r="DJ444" s="17"/>
      <c r="DK444" s="17"/>
      <c r="DL444" s="17"/>
      <c r="DM444" s="17"/>
      <c r="DN444" s="17"/>
      <c r="DO444" s="17"/>
      <c r="DP444" s="17"/>
      <c r="DQ444" s="17"/>
      <c r="DR444" s="17"/>
      <c r="DS444" s="17"/>
      <c r="DT444" s="17"/>
      <c r="DU444" s="17"/>
      <c r="DV444" s="17"/>
      <c r="DW444" s="17"/>
      <c r="DX444" s="17"/>
      <c r="DY444" s="17"/>
      <c r="DZ444" s="17"/>
      <c r="EA444" s="17"/>
      <c r="EB444" s="17"/>
      <c r="EC444" s="17"/>
    </row>
    <row r="445" spans="1:133" x14ac:dyDescent="0.2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c r="BC445" s="17"/>
      <c r="BD445" s="17"/>
      <c r="BE445" s="17"/>
      <c r="BF445" s="17"/>
      <c r="BG445" s="17"/>
      <c r="BH445" s="17"/>
      <c r="BI445" s="17"/>
      <c r="BJ445" s="17"/>
      <c r="BK445" s="17"/>
      <c r="BL445" s="17"/>
      <c r="BM445" s="17"/>
      <c r="BN445" s="17"/>
      <c r="BO445" s="17"/>
      <c r="BP445" s="17"/>
      <c r="BQ445" s="17"/>
      <c r="BR445" s="17"/>
      <c r="BS445" s="17"/>
      <c r="BT445" s="17"/>
      <c r="BU445" s="17"/>
      <c r="BV445" s="17"/>
      <c r="BW445" s="17"/>
      <c r="BX445" s="17"/>
      <c r="BY445" s="17"/>
      <c r="BZ445" s="17"/>
      <c r="CA445" s="17"/>
      <c r="CB445" s="17"/>
      <c r="CC445" s="17"/>
      <c r="CD445" s="17"/>
      <c r="CE445" s="17"/>
      <c r="CF445" s="17"/>
      <c r="CG445" s="17"/>
      <c r="CH445" s="17"/>
      <c r="CI445" s="17"/>
      <c r="CJ445" s="17"/>
      <c r="CK445" s="17"/>
      <c r="CL445" s="17"/>
      <c r="CM445" s="17"/>
      <c r="CN445" s="17"/>
      <c r="CO445" s="17"/>
      <c r="CP445" s="17"/>
      <c r="CQ445" s="17"/>
      <c r="CR445" s="17"/>
      <c r="CS445" s="17"/>
      <c r="CT445" s="17"/>
      <c r="CU445" s="17"/>
      <c r="CV445" s="17"/>
      <c r="CW445" s="17"/>
      <c r="CX445" s="17"/>
      <c r="CY445" s="17"/>
      <c r="CZ445" s="17"/>
      <c r="DA445" s="17"/>
      <c r="DB445" s="17"/>
      <c r="DC445" s="17"/>
      <c r="DD445" s="17"/>
      <c r="DE445" s="17"/>
      <c r="DF445" s="17"/>
      <c r="DG445" s="17"/>
      <c r="DH445" s="17"/>
      <c r="DI445" s="17"/>
      <c r="DJ445" s="17"/>
      <c r="DK445" s="17"/>
      <c r="DL445" s="17"/>
      <c r="DM445" s="17"/>
      <c r="DN445" s="17"/>
      <c r="DO445" s="17"/>
      <c r="DP445" s="17"/>
      <c r="DQ445" s="17"/>
      <c r="DR445" s="17"/>
      <c r="DS445" s="17"/>
      <c r="DT445" s="17"/>
      <c r="DU445" s="17"/>
      <c r="DV445" s="17"/>
      <c r="DW445" s="17"/>
      <c r="DX445" s="17"/>
      <c r="DY445" s="17"/>
      <c r="DZ445" s="17"/>
      <c r="EA445" s="17"/>
      <c r="EB445" s="17"/>
      <c r="EC445" s="17"/>
    </row>
    <row r="446" spans="1:133" x14ac:dyDescent="0.25">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7"/>
      <c r="BD446" s="17"/>
      <c r="BE446" s="17"/>
      <c r="BF446" s="17"/>
      <c r="BG446" s="17"/>
      <c r="BH446" s="17"/>
      <c r="BI446" s="17"/>
      <c r="BJ446" s="17"/>
      <c r="BK446" s="17"/>
      <c r="BL446" s="17"/>
      <c r="BM446" s="17"/>
      <c r="BN446" s="17"/>
      <c r="BO446" s="17"/>
      <c r="BP446" s="17"/>
      <c r="BQ446" s="17"/>
      <c r="BR446" s="17"/>
      <c r="BS446" s="17"/>
      <c r="BT446" s="17"/>
      <c r="BU446" s="17"/>
      <c r="BV446" s="17"/>
      <c r="BW446" s="17"/>
      <c r="BX446" s="17"/>
      <c r="BY446" s="17"/>
      <c r="BZ446" s="17"/>
      <c r="CA446" s="17"/>
      <c r="CB446" s="17"/>
      <c r="CC446" s="17"/>
      <c r="CD446" s="17"/>
      <c r="CE446" s="17"/>
      <c r="CF446" s="17"/>
      <c r="CG446" s="17"/>
      <c r="CH446" s="17"/>
      <c r="CI446" s="17"/>
      <c r="CJ446" s="17"/>
      <c r="CK446" s="17"/>
      <c r="CL446" s="17"/>
      <c r="CM446" s="17"/>
      <c r="CN446" s="17"/>
      <c r="CO446" s="17"/>
      <c r="CP446" s="17"/>
      <c r="CQ446" s="17"/>
      <c r="CR446" s="17"/>
      <c r="CS446" s="17"/>
      <c r="CT446" s="17"/>
      <c r="CU446" s="17"/>
      <c r="CV446" s="17"/>
      <c r="CW446" s="17"/>
      <c r="CX446" s="17"/>
      <c r="CY446" s="17"/>
      <c r="CZ446" s="17"/>
      <c r="DA446" s="17"/>
      <c r="DB446" s="17"/>
      <c r="DC446" s="17"/>
      <c r="DD446" s="17"/>
      <c r="DE446" s="17"/>
      <c r="DF446" s="17"/>
      <c r="DG446" s="17"/>
      <c r="DH446" s="17"/>
      <c r="DI446" s="17"/>
      <c r="DJ446" s="17"/>
      <c r="DK446" s="17"/>
      <c r="DL446" s="17"/>
      <c r="DM446" s="17"/>
      <c r="DN446" s="17"/>
      <c r="DO446" s="17"/>
      <c r="DP446" s="17"/>
      <c r="DQ446" s="17"/>
      <c r="DR446" s="17"/>
      <c r="DS446" s="17"/>
      <c r="DT446" s="17"/>
      <c r="DU446" s="17"/>
      <c r="DV446" s="17"/>
      <c r="DW446" s="17"/>
      <c r="DX446" s="17"/>
      <c r="DY446" s="17"/>
      <c r="DZ446" s="17"/>
      <c r="EA446" s="17"/>
      <c r="EB446" s="17"/>
      <c r="EC446" s="17"/>
    </row>
    <row r="447" spans="1:133" x14ac:dyDescent="0.25">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c r="BC447" s="17"/>
      <c r="BD447" s="17"/>
      <c r="BE447" s="17"/>
      <c r="BF447" s="17"/>
      <c r="BG447" s="17"/>
      <c r="BH447" s="17"/>
      <c r="BI447" s="17"/>
      <c r="BJ447" s="17"/>
      <c r="BK447" s="17"/>
      <c r="BL447" s="17"/>
      <c r="BM447" s="17"/>
      <c r="BN447" s="17"/>
      <c r="BO447" s="17"/>
      <c r="BP447" s="17"/>
      <c r="BQ447" s="17"/>
      <c r="BR447" s="17"/>
      <c r="BS447" s="17"/>
      <c r="BT447" s="17"/>
      <c r="BU447" s="17"/>
      <c r="BV447" s="17"/>
      <c r="BW447" s="17"/>
      <c r="BX447" s="17"/>
      <c r="BY447" s="17"/>
      <c r="BZ447" s="17"/>
      <c r="CA447" s="17"/>
      <c r="CB447" s="17"/>
      <c r="CC447" s="17"/>
      <c r="CD447" s="17"/>
      <c r="CE447" s="17"/>
      <c r="CF447" s="17"/>
      <c r="CG447" s="17"/>
      <c r="CH447" s="17"/>
      <c r="CI447" s="17"/>
      <c r="CJ447" s="17"/>
      <c r="CK447" s="17"/>
      <c r="CL447" s="17"/>
      <c r="CM447" s="17"/>
      <c r="CN447" s="17"/>
      <c r="CO447" s="17"/>
      <c r="CP447" s="17"/>
      <c r="CQ447" s="17"/>
      <c r="CR447" s="17"/>
      <c r="CS447" s="17"/>
      <c r="CT447" s="17"/>
      <c r="CU447" s="17"/>
      <c r="CV447" s="17"/>
      <c r="CW447" s="17"/>
      <c r="CX447" s="17"/>
      <c r="CY447" s="17"/>
      <c r="CZ447" s="17"/>
      <c r="DA447" s="17"/>
      <c r="DB447" s="17"/>
      <c r="DC447" s="17"/>
      <c r="DD447" s="17"/>
      <c r="DE447" s="17"/>
      <c r="DF447" s="17"/>
      <c r="DG447" s="17"/>
      <c r="DH447" s="17"/>
      <c r="DI447" s="17"/>
      <c r="DJ447" s="17"/>
      <c r="DK447" s="17"/>
      <c r="DL447" s="17"/>
      <c r="DM447" s="17"/>
      <c r="DN447" s="17"/>
      <c r="DO447" s="17"/>
      <c r="DP447" s="17"/>
      <c r="DQ447" s="17"/>
      <c r="DR447" s="17"/>
      <c r="DS447" s="17"/>
      <c r="DT447" s="17"/>
      <c r="DU447" s="17"/>
      <c r="DV447" s="17"/>
      <c r="DW447" s="17"/>
      <c r="DX447" s="17"/>
      <c r="DY447" s="17"/>
      <c r="DZ447" s="17"/>
      <c r="EA447" s="17"/>
      <c r="EB447" s="17"/>
      <c r="EC447" s="17"/>
    </row>
    <row r="448" spans="1:133" x14ac:dyDescent="0.25">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c r="BC448" s="17"/>
      <c r="BD448" s="17"/>
      <c r="BE448" s="17"/>
      <c r="BF448" s="17"/>
      <c r="BG448" s="17"/>
      <c r="BH448" s="17"/>
      <c r="BI448" s="17"/>
      <c r="BJ448" s="17"/>
      <c r="BK448" s="17"/>
      <c r="BL448" s="17"/>
      <c r="BM448" s="17"/>
      <c r="BN448" s="17"/>
      <c r="BO448" s="17"/>
      <c r="BP448" s="17"/>
      <c r="BQ448" s="17"/>
      <c r="BR448" s="17"/>
      <c r="BS448" s="17"/>
      <c r="BT448" s="17"/>
      <c r="BU448" s="17"/>
      <c r="BV448" s="17"/>
      <c r="BW448" s="17"/>
      <c r="BX448" s="17"/>
      <c r="BY448" s="17"/>
      <c r="BZ448" s="17"/>
      <c r="CA448" s="17"/>
      <c r="CB448" s="17"/>
      <c r="CC448" s="17"/>
      <c r="CD448" s="17"/>
      <c r="CE448" s="17"/>
      <c r="CF448" s="17"/>
      <c r="CG448" s="17"/>
      <c r="CH448" s="17"/>
      <c r="CI448" s="17"/>
      <c r="CJ448" s="17"/>
      <c r="CK448" s="17"/>
      <c r="CL448" s="17"/>
      <c r="CM448" s="17"/>
      <c r="CN448" s="17"/>
      <c r="CO448" s="17"/>
      <c r="CP448" s="17"/>
      <c r="CQ448" s="17"/>
      <c r="CR448" s="17"/>
      <c r="CS448" s="17"/>
      <c r="CT448" s="17"/>
      <c r="CU448" s="17"/>
      <c r="CV448" s="17"/>
      <c r="CW448" s="17"/>
      <c r="CX448" s="17"/>
      <c r="CY448" s="17"/>
      <c r="CZ448" s="17"/>
      <c r="DA448" s="17"/>
      <c r="DB448" s="17"/>
      <c r="DC448" s="17"/>
      <c r="DD448" s="17"/>
      <c r="DE448" s="17"/>
      <c r="DF448" s="17"/>
      <c r="DG448" s="17"/>
      <c r="DH448" s="17"/>
      <c r="DI448" s="17"/>
      <c r="DJ448" s="17"/>
      <c r="DK448" s="17"/>
      <c r="DL448" s="17"/>
      <c r="DM448" s="17"/>
      <c r="DN448" s="17"/>
      <c r="DO448" s="17"/>
      <c r="DP448" s="17"/>
      <c r="DQ448" s="17"/>
      <c r="DR448" s="17"/>
      <c r="DS448" s="17"/>
      <c r="DT448" s="17"/>
      <c r="DU448" s="17"/>
      <c r="DV448" s="17"/>
      <c r="DW448" s="17"/>
      <c r="DX448" s="17"/>
      <c r="DY448" s="17"/>
      <c r="DZ448" s="17"/>
      <c r="EA448" s="17"/>
      <c r="EB448" s="17"/>
      <c r="EC448" s="17"/>
    </row>
    <row r="449" spans="1:133" x14ac:dyDescent="0.25">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7"/>
      <c r="BD449" s="17"/>
      <c r="BE449" s="17"/>
      <c r="BF449" s="17"/>
      <c r="BG449" s="17"/>
      <c r="BH449" s="17"/>
      <c r="BI449" s="17"/>
      <c r="BJ449" s="17"/>
      <c r="BK449" s="17"/>
      <c r="BL449" s="17"/>
      <c r="BM449" s="17"/>
      <c r="BN449" s="17"/>
      <c r="BO449" s="17"/>
      <c r="BP449" s="17"/>
      <c r="BQ449" s="17"/>
      <c r="BR449" s="17"/>
      <c r="BS449" s="17"/>
      <c r="BT449" s="17"/>
      <c r="BU449" s="17"/>
      <c r="BV449" s="17"/>
      <c r="BW449" s="17"/>
      <c r="BX449" s="17"/>
      <c r="BY449" s="17"/>
      <c r="BZ449" s="17"/>
      <c r="CA449" s="17"/>
      <c r="CB449" s="17"/>
      <c r="CC449" s="17"/>
      <c r="CD449" s="17"/>
      <c r="CE449" s="17"/>
      <c r="CF449" s="17"/>
      <c r="CG449" s="17"/>
      <c r="CH449" s="17"/>
      <c r="CI449" s="17"/>
      <c r="CJ449" s="17"/>
      <c r="CK449" s="17"/>
      <c r="CL449" s="17"/>
      <c r="CM449" s="17"/>
      <c r="CN449" s="17"/>
      <c r="CO449" s="17"/>
      <c r="CP449" s="17"/>
      <c r="CQ449" s="17"/>
      <c r="CR449" s="17"/>
      <c r="CS449" s="17"/>
      <c r="CT449" s="17"/>
      <c r="CU449" s="17"/>
      <c r="CV449" s="17"/>
      <c r="CW449" s="17"/>
      <c r="CX449" s="17"/>
      <c r="CY449" s="17"/>
      <c r="CZ449" s="17"/>
      <c r="DA449" s="17"/>
      <c r="DB449" s="17"/>
      <c r="DC449" s="17"/>
      <c r="DD449" s="17"/>
      <c r="DE449" s="17"/>
      <c r="DF449" s="17"/>
      <c r="DG449" s="17"/>
      <c r="DH449" s="17"/>
      <c r="DI449" s="17"/>
      <c r="DJ449" s="17"/>
      <c r="DK449" s="17"/>
      <c r="DL449" s="17"/>
      <c r="DM449" s="17"/>
      <c r="DN449" s="17"/>
      <c r="DO449" s="17"/>
      <c r="DP449" s="17"/>
      <c r="DQ449" s="17"/>
      <c r="DR449" s="17"/>
      <c r="DS449" s="17"/>
      <c r="DT449" s="17"/>
      <c r="DU449" s="17"/>
      <c r="DV449" s="17"/>
      <c r="DW449" s="17"/>
      <c r="DX449" s="17"/>
      <c r="DY449" s="17"/>
      <c r="DZ449" s="17"/>
      <c r="EA449" s="17"/>
      <c r="EB449" s="17"/>
      <c r="EC449" s="17"/>
    </row>
    <row r="450" spans="1:133" x14ac:dyDescent="0.25">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7"/>
      <c r="BD450" s="17"/>
      <c r="BE450" s="17"/>
      <c r="BF450" s="17"/>
      <c r="BG450" s="17"/>
      <c r="BH450" s="17"/>
      <c r="BI450" s="17"/>
      <c r="BJ450" s="17"/>
      <c r="BK450" s="17"/>
      <c r="BL450" s="17"/>
      <c r="BM450" s="17"/>
      <c r="BN450" s="17"/>
      <c r="BO450" s="17"/>
      <c r="BP450" s="17"/>
      <c r="BQ450" s="17"/>
      <c r="BR450" s="17"/>
      <c r="BS450" s="17"/>
      <c r="BT450" s="17"/>
      <c r="BU450" s="17"/>
      <c r="BV450" s="17"/>
      <c r="BW450" s="17"/>
      <c r="BX450" s="17"/>
      <c r="BY450" s="17"/>
      <c r="BZ450" s="17"/>
      <c r="CA450" s="17"/>
      <c r="CB450" s="17"/>
      <c r="CC450" s="17"/>
      <c r="CD450" s="17"/>
      <c r="CE450" s="17"/>
      <c r="CF450" s="17"/>
      <c r="CG450" s="17"/>
      <c r="CH450" s="17"/>
      <c r="CI450" s="17"/>
      <c r="CJ450" s="17"/>
      <c r="CK450" s="17"/>
      <c r="CL450" s="17"/>
      <c r="CM450" s="17"/>
      <c r="CN450" s="17"/>
      <c r="CO450" s="17"/>
      <c r="CP450" s="17"/>
      <c r="CQ450" s="17"/>
      <c r="CR450" s="17"/>
      <c r="CS450" s="17"/>
      <c r="CT450" s="17"/>
      <c r="CU450" s="17"/>
      <c r="CV450" s="17"/>
      <c r="CW450" s="17"/>
      <c r="CX450" s="17"/>
      <c r="CY450" s="17"/>
      <c r="CZ450" s="17"/>
      <c r="DA450" s="17"/>
      <c r="DB450" s="17"/>
      <c r="DC450" s="17"/>
      <c r="DD450" s="17"/>
      <c r="DE450" s="17"/>
      <c r="DF450" s="17"/>
      <c r="DG450" s="17"/>
      <c r="DH450" s="17"/>
      <c r="DI450" s="17"/>
      <c r="DJ450" s="17"/>
      <c r="DK450" s="17"/>
      <c r="DL450" s="17"/>
      <c r="DM450" s="17"/>
      <c r="DN450" s="17"/>
      <c r="DO450" s="17"/>
      <c r="DP450" s="17"/>
      <c r="DQ450" s="17"/>
      <c r="DR450" s="17"/>
      <c r="DS450" s="17"/>
      <c r="DT450" s="17"/>
      <c r="DU450" s="17"/>
      <c r="DV450" s="17"/>
      <c r="DW450" s="17"/>
      <c r="DX450" s="17"/>
      <c r="DY450" s="17"/>
      <c r="DZ450" s="17"/>
      <c r="EA450" s="17"/>
      <c r="EB450" s="17"/>
      <c r="EC450" s="17"/>
    </row>
    <row r="451" spans="1:133" x14ac:dyDescent="0.25">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7"/>
      <c r="BD451" s="17"/>
      <c r="BE451" s="17"/>
      <c r="BF451" s="17"/>
      <c r="BG451" s="17"/>
      <c r="BH451" s="17"/>
      <c r="BI451" s="17"/>
      <c r="BJ451" s="17"/>
      <c r="BK451" s="17"/>
      <c r="BL451" s="17"/>
      <c r="BM451" s="17"/>
      <c r="BN451" s="17"/>
      <c r="BO451" s="17"/>
      <c r="BP451" s="17"/>
      <c r="BQ451" s="17"/>
      <c r="BR451" s="17"/>
      <c r="BS451" s="17"/>
      <c r="BT451" s="17"/>
      <c r="BU451" s="17"/>
      <c r="BV451" s="17"/>
      <c r="BW451" s="17"/>
      <c r="BX451" s="17"/>
      <c r="BY451" s="17"/>
      <c r="BZ451" s="17"/>
      <c r="CA451" s="17"/>
      <c r="CB451" s="17"/>
      <c r="CC451" s="17"/>
      <c r="CD451" s="17"/>
      <c r="CE451" s="17"/>
      <c r="CF451" s="17"/>
      <c r="CG451" s="17"/>
      <c r="CH451" s="17"/>
      <c r="CI451" s="17"/>
      <c r="CJ451" s="17"/>
      <c r="CK451" s="17"/>
      <c r="CL451" s="17"/>
      <c r="CM451" s="17"/>
      <c r="CN451" s="17"/>
      <c r="CO451" s="17"/>
      <c r="CP451" s="17"/>
      <c r="CQ451" s="17"/>
      <c r="CR451" s="17"/>
      <c r="CS451" s="17"/>
      <c r="CT451" s="17"/>
      <c r="CU451" s="17"/>
      <c r="CV451" s="17"/>
      <c r="CW451" s="17"/>
      <c r="CX451" s="17"/>
      <c r="CY451" s="17"/>
      <c r="CZ451" s="17"/>
      <c r="DA451" s="17"/>
      <c r="DB451" s="17"/>
      <c r="DC451" s="17"/>
      <c r="DD451" s="17"/>
      <c r="DE451" s="17"/>
      <c r="DF451" s="17"/>
      <c r="DG451" s="17"/>
      <c r="DH451" s="17"/>
      <c r="DI451" s="17"/>
      <c r="DJ451" s="17"/>
      <c r="DK451" s="17"/>
      <c r="DL451" s="17"/>
      <c r="DM451" s="17"/>
      <c r="DN451" s="17"/>
      <c r="DO451" s="17"/>
      <c r="DP451" s="17"/>
      <c r="DQ451" s="17"/>
      <c r="DR451" s="17"/>
      <c r="DS451" s="17"/>
      <c r="DT451" s="17"/>
      <c r="DU451" s="17"/>
      <c r="DV451" s="17"/>
      <c r="DW451" s="17"/>
      <c r="DX451" s="17"/>
      <c r="DY451" s="17"/>
      <c r="DZ451" s="17"/>
      <c r="EA451" s="17"/>
      <c r="EB451" s="17"/>
      <c r="EC451" s="17"/>
    </row>
    <row r="452" spans="1:133" x14ac:dyDescent="0.25">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c r="BC452" s="17"/>
      <c r="BD452" s="17"/>
      <c r="BE452" s="17"/>
      <c r="BF452" s="17"/>
      <c r="BG452" s="17"/>
      <c r="BH452" s="17"/>
      <c r="BI452" s="17"/>
      <c r="BJ452" s="17"/>
      <c r="BK452" s="17"/>
      <c r="BL452" s="17"/>
      <c r="BM452" s="17"/>
      <c r="BN452" s="17"/>
      <c r="BO452" s="17"/>
      <c r="BP452" s="17"/>
      <c r="BQ452" s="17"/>
      <c r="BR452" s="17"/>
      <c r="BS452" s="17"/>
      <c r="BT452" s="17"/>
      <c r="BU452" s="17"/>
      <c r="BV452" s="17"/>
      <c r="BW452" s="17"/>
      <c r="BX452" s="17"/>
      <c r="BY452" s="17"/>
      <c r="BZ452" s="17"/>
      <c r="CA452" s="17"/>
      <c r="CB452" s="17"/>
      <c r="CC452" s="17"/>
      <c r="CD452" s="17"/>
      <c r="CE452" s="17"/>
      <c r="CF452" s="17"/>
      <c r="CG452" s="17"/>
      <c r="CH452" s="17"/>
      <c r="CI452" s="17"/>
      <c r="CJ452" s="17"/>
      <c r="CK452" s="17"/>
      <c r="CL452" s="17"/>
      <c r="CM452" s="17"/>
      <c r="CN452" s="17"/>
      <c r="CO452" s="17"/>
      <c r="CP452" s="17"/>
      <c r="CQ452" s="17"/>
      <c r="CR452" s="17"/>
      <c r="CS452" s="17"/>
      <c r="CT452" s="17"/>
      <c r="CU452" s="17"/>
      <c r="CV452" s="17"/>
      <c r="CW452" s="17"/>
      <c r="CX452" s="17"/>
      <c r="CY452" s="17"/>
      <c r="CZ452" s="17"/>
      <c r="DA452" s="17"/>
      <c r="DB452" s="17"/>
      <c r="DC452" s="17"/>
      <c r="DD452" s="17"/>
      <c r="DE452" s="17"/>
      <c r="DF452" s="17"/>
      <c r="DG452" s="17"/>
      <c r="DH452" s="17"/>
      <c r="DI452" s="17"/>
      <c r="DJ452" s="17"/>
      <c r="DK452" s="17"/>
      <c r="DL452" s="17"/>
      <c r="DM452" s="17"/>
      <c r="DN452" s="17"/>
      <c r="DO452" s="17"/>
      <c r="DP452" s="17"/>
      <c r="DQ452" s="17"/>
      <c r="DR452" s="17"/>
      <c r="DS452" s="17"/>
      <c r="DT452" s="17"/>
      <c r="DU452" s="17"/>
      <c r="DV452" s="17"/>
      <c r="DW452" s="17"/>
      <c r="DX452" s="17"/>
      <c r="DY452" s="17"/>
      <c r="DZ452" s="17"/>
      <c r="EA452" s="17"/>
      <c r="EB452" s="17"/>
      <c r="EC452" s="17"/>
    </row>
    <row r="453" spans="1:133" x14ac:dyDescent="0.25">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7"/>
      <c r="BD453" s="17"/>
      <c r="BE453" s="17"/>
      <c r="BF453" s="17"/>
      <c r="BG453" s="17"/>
      <c r="BH453" s="17"/>
      <c r="BI453" s="17"/>
      <c r="BJ453" s="17"/>
      <c r="BK453" s="17"/>
      <c r="BL453" s="17"/>
      <c r="BM453" s="17"/>
      <c r="BN453" s="17"/>
      <c r="BO453" s="17"/>
      <c r="BP453" s="17"/>
      <c r="BQ453" s="17"/>
      <c r="BR453" s="17"/>
      <c r="BS453" s="17"/>
      <c r="BT453" s="17"/>
      <c r="BU453" s="17"/>
      <c r="BV453" s="17"/>
      <c r="BW453" s="17"/>
      <c r="BX453" s="17"/>
      <c r="BY453" s="17"/>
      <c r="BZ453" s="17"/>
      <c r="CA453" s="17"/>
      <c r="CB453" s="17"/>
      <c r="CC453" s="17"/>
      <c r="CD453" s="17"/>
      <c r="CE453" s="17"/>
      <c r="CF453" s="17"/>
      <c r="CG453" s="17"/>
      <c r="CH453" s="17"/>
      <c r="CI453" s="17"/>
      <c r="CJ453" s="17"/>
      <c r="CK453" s="17"/>
      <c r="CL453" s="17"/>
      <c r="CM453" s="17"/>
      <c r="CN453" s="17"/>
      <c r="CO453" s="17"/>
      <c r="CP453" s="17"/>
      <c r="CQ453" s="17"/>
      <c r="CR453" s="17"/>
      <c r="CS453" s="17"/>
      <c r="CT453" s="17"/>
      <c r="CU453" s="17"/>
      <c r="CV453" s="17"/>
      <c r="CW453" s="17"/>
      <c r="CX453" s="17"/>
      <c r="CY453" s="17"/>
      <c r="CZ453" s="17"/>
      <c r="DA453" s="17"/>
      <c r="DB453" s="17"/>
      <c r="DC453" s="17"/>
      <c r="DD453" s="17"/>
      <c r="DE453" s="17"/>
      <c r="DF453" s="17"/>
      <c r="DG453" s="17"/>
      <c r="DH453" s="17"/>
      <c r="DI453" s="17"/>
      <c r="DJ453" s="17"/>
      <c r="DK453" s="17"/>
      <c r="DL453" s="17"/>
      <c r="DM453" s="17"/>
      <c r="DN453" s="17"/>
      <c r="DO453" s="17"/>
      <c r="DP453" s="17"/>
      <c r="DQ453" s="17"/>
      <c r="DR453" s="17"/>
      <c r="DS453" s="17"/>
      <c r="DT453" s="17"/>
      <c r="DU453" s="17"/>
      <c r="DV453" s="17"/>
      <c r="DW453" s="17"/>
      <c r="DX453" s="17"/>
      <c r="DY453" s="17"/>
      <c r="DZ453" s="17"/>
      <c r="EA453" s="17"/>
      <c r="EB453" s="17"/>
      <c r="EC453" s="17"/>
    </row>
    <row r="454" spans="1:133" x14ac:dyDescent="0.25">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7"/>
      <c r="BD454" s="17"/>
      <c r="BE454" s="17"/>
      <c r="BF454" s="17"/>
      <c r="BG454" s="17"/>
      <c r="BH454" s="17"/>
      <c r="BI454" s="17"/>
      <c r="BJ454" s="17"/>
      <c r="BK454" s="17"/>
      <c r="BL454" s="17"/>
      <c r="BM454" s="17"/>
      <c r="BN454" s="17"/>
      <c r="BO454" s="17"/>
      <c r="BP454" s="17"/>
      <c r="BQ454" s="17"/>
      <c r="BR454" s="17"/>
      <c r="BS454" s="17"/>
      <c r="BT454" s="17"/>
      <c r="BU454" s="17"/>
      <c r="BV454" s="17"/>
      <c r="BW454" s="17"/>
      <c r="BX454" s="17"/>
      <c r="BY454" s="17"/>
      <c r="BZ454" s="17"/>
      <c r="CA454" s="17"/>
      <c r="CB454" s="17"/>
      <c r="CC454" s="17"/>
      <c r="CD454" s="17"/>
      <c r="CE454" s="17"/>
      <c r="CF454" s="17"/>
      <c r="CG454" s="17"/>
      <c r="CH454" s="17"/>
      <c r="CI454" s="17"/>
      <c r="CJ454" s="17"/>
      <c r="CK454" s="17"/>
      <c r="CL454" s="17"/>
      <c r="CM454" s="17"/>
      <c r="CN454" s="17"/>
      <c r="CO454" s="17"/>
      <c r="CP454" s="17"/>
      <c r="CQ454" s="17"/>
      <c r="CR454" s="17"/>
      <c r="CS454" s="17"/>
      <c r="CT454" s="17"/>
      <c r="CU454" s="17"/>
      <c r="CV454" s="17"/>
      <c r="CW454" s="17"/>
      <c r="CX454" s="17"/>
      <c r="CY454" s="17"/>
      <c r="CZ454" s="17"/>
      <c r="DA454" s="17"/>
      <c r="DB454" s="17"/>
      <c r="DC454" s="17"/>
      <c r="DD454" s="17"/>
      <c r="DE454" s="17"/>
      <c r="DF454" s="17"/>
      <c r="DG454" s="17"/>
      <c r="DH454" s="17"/>
      <c r="DI454" s="17"/>
      <c r="DJ454" s="17"/>
      <c r="DK454" s="17"/>
      <c r="DL454" s="17"/>
      <c r="DM454" s="17"/>
      <c r="DN454" s="17"/>
      <c r="DO454" s="17"/>
      <c r="DP454" s="17"/>
      <c r="DQ454" s="17"/>
      <c r="DR454" s="17"/>
      <c r="DS454" s="17"/>
      <c r="DT454" s="17"/>
      <c r="DU454" s="17"/>
      <c r="DV454" s="17"/>
      <c r="DW454" s="17"/>
      <c r="DX454" s="17"/>
      <c r="DY454" s="17"/>
      <c r="DZ454" s="17"/>
      <c r="EA454" s="17"/>
      <c r="EB454" s="17"/>
      <c r="EC454" s="17"/>
    </row>
    <row r="455" spans="1:133" x14ac:dyDescent="0.2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7"/>
      <c r="BD455" s="17"/>
      <c r="BE455" s="17"/>
      <c r="BF455" s="17"/>
      <c r="BG455" s="17"/>
      <c r="BH455" s="17"/>
      <c r="BI455" s="17"/>
      <c r="BJ455" s="17"/>
      <c r="BK455" s="17"/>
      <c r="BL455" s="17"/>
      <c r="BM455" s="17"/>
      <c r="BN455" s="17"/>
      <c r="BO455" s="17"/>
      <c r="BP455" s="17"/>
      <c r="BQ455" s="17"/>
      <c r="BR455" s="17"/>
      <c r="BS455" s="17"/>
      <c r="BT455" s="17"/>
      <c r="BU455" s="17"/>
      <c r="BV455" s="17"/>
      <c r="BW455" s="17"/>
      <c r="BX455" s="17"/>
      <c r="BY455" s="17"/>
      <c r="BZ455" s="17"/>
      <c r="CA455" s="17"/>
      <c r="CB455" s="17"/>
      <c r="CC455" s="17"/>
      <c r="CD455" s="17"/>
      <c r="CE455" s="17"/>
      <c r="CF455" s="17"/>
      <c r="CG455" s="17"/>
      <c r="CH455" s="17"/>
      <c r="CI455" s="17"/>
      <c r="CJ455" s="17"/>
      <c r="CK455" s="17"/>
      <c r="CL455" s="17"/>
      <c r="CM455" s="17"/>
      <c r="CN455" s="17"/>
      <c r="CO455" s="17"/>
      <c r="CP455" s="17"/>
      <c r="CQ455" s="17"/>
      <c r="CR455" s="17"/>
      <c r="CS455" s="17"/>
      <c r="CT455" s="17"/>
      <c r="CU455" s="17"/>
      <c r="CV455" s="17"/>
      <c r="CW455" s="17"/>
      <c r="CX455" s="17"/>
      <c r="CY455" s="17"/>
      <c r="CZ455" s="17"/>
      <c r="DA455" s="17"/>
      <c r="DB455" s="17"/>
      <c r="DC455" s="17"/>
      <c r="DD455" s="17"/>
      <c r="DE455" s="17"/>
      <c r="DF455" s="17"/>
      <c r="DG455" s="17"/>
      <c r="DH455" s="17"/>
      <c r="DI455" s="17"/>
      <c r="DJ455" s="17"/>
      <c r="DK455" s="17"/>
      <c r="DL455" s="17"/>
      <c r="DM455" s="17"/>
      <c r="DN455" s="17"/>
      <c r="DO455" s="17"/>
      <c r="DP455" s="17"/>
      <c r="DQ455" s="17"/>
      <c r="DR455" s="17"/>
      <c r="DS455" s="17"/>
      <c r="DT455" s="17"/>
      <c r="DU455" s="17"/>
      <c r="DV455" s="17"/>
      <c r="DW455" s="17"/>
      <c r="DX455" s="17"/>
      <c r="DY455" s="17"/>
      <c r="DZ455" s="17"/>
      <c r="EA455" s="17"/>
      <c r="EB455" s="17"/>
      <c r="EC455" s="17"/>
    </row>
    <row r="456" spans="1:133" x14ac:dyDescent="0.25">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7"/>
      <c r="BD456" s="17"/>
      <c r="BE456" s="17"/>
      <c r="BF456" s="17"/>
      <c r="BG456" s="17"/>
      <c r="BH456" s="17"/>
      <c r="BI456" s="17"/>
      <c r="BJ456" s="17"/>
      <c r="BK456" s="17"/>
      <c r="BL456" s="17"/>
      <c r="BM456" s="17"/>
      <c r="BN456" s="17"/>
      <c r="BO456" s="17"/>
      <c r="BP456" s="17"/>
      <c r="BQ456" s="17"/>
      <c r="BR456" s="17"/>
      <c r="BS456" s="17"/>
      <c r="BT456" s="17"/>
      <c r="BU456" s="17"/>
      <c r="BV456" s="17"/>
      <c r="BW456" s="17"/>
      <c r="BX456" s="17"/>
      <c r="BY456" s="17"/>
      <c r="BZ456" s="17"/>
      <c r="CA456" s="17"/>
      <c r="CB456" s="17"/>
      <c r="CC456" s="17"/>
      <c r="CD456" s="17"/>
      <c r="CE456" s="17"/>
      <c r="CF456" s="17"/>
      <c r="CG456" s="17"/>
      <c r="CH456" s="17"/>
      <c r="CI456" s="17"/>
      <c r="CJ456" s="17"/>
      <c r="CK456" s="17"/>
      <c r="CL456" s="17"/>
      <c r="CM456" s="17"/>
      <c r="CN456" s="17"/>
      <c r="CO456" s="17"/>
      <c r="CP456" s="17"/>
      <c r="CQ456" s="17"/>
      <c r="CR456" s="17"/>
      <c r="CS456" s="17"/>
      <c r="CT456" s="17"/>
      <c r="CU456" s="17"/>
      <c r="CV456" s="17"/>
      <c r="CW456" s="17"/>
      <c r="CX456" s="17"/>
      <c r="CY456" s="17"/>
      <c r="CZ456" s="17"/>
      <c r="DA456" s="17"/>
      <c r="DB456" s="17"/>
      <c r="DC456" s="17"/>
      <c r="DD456" s="17"/>
      <c r="DE456" s="17"/>
      <c r="DF456" s="17"/>
      <c r="DG456" s="17"/>
      <c r="DH456" s="17"/>
      <c r="DI456" s="17"/>
      <c r="DJ456" s="17"/>
      <c r="DK456" s="17"/>
      <c r="DL456" s="17"/>
      <c r="DM456" s="17"/>
      <c r="DN456" s="17"/>
      <c r="DO456" s="17"/>
      <c r="DP456" s="17"/>
      <c r="DQ456" s="17"/>
      <c r="DR456" s="17"/>
      <c r="DS456" s="17"/>
      <c r="DT456" s="17"/>
      <c r="DU456" s="17"/>
      <c r="DV456" s="17"/>
      <c r="DW456" s="17"/>
      <c r="DX456" s="17"/>
      <c r="DY456" s="17"/>
      <c r="DZ456" s="17"/>
      <c r="EA456" s="17"/>
      <c r="EB456" s="17"/>
      <c r="EC456" s="17"/>
    </row>
    <row r="457" spans="1:133" x14ac:dyDescent="0.25">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7"/>
      <c r="BD457" s="17"/>
      <c r="BE457" s="17"/>
      <c r="BF457" s="17"/>
      <c r="BG457" s="17"/>
      <c r="BH457" s="17"/>
      <c r="BI457" s="17"/>
      <c r="BJ457" s="17"/>
      <c r="BK457" s="17"/>
      <c r="BL457" s="17"/>
      <c r="BM457" s="17"/>
      <c r="BN457" s="17"/>
      <c r="BO457" s="17"/>
      <c r="BP457" s="17"/>
      <c r="BQ457" s="17"/>
      <c r="BR457" s="17"/>
      <c r="BS457" s="17"/>
      <c r="BT457" s="17"/>
      <c r="BU457" s="17"/>
      <c r="BV457" s="17"/>
      <c r="BW457" s="17"/>
      <c r="BX457" s="17"/>
      <c r="BY457" s="17"/>
      <c r="BZ457" s="17"/>
      <c r="CA457" s="17"/>
      <c r="CB457" s="17"/>
      <c r="CC457" s="17"/>
      <c r="CD457" s="17"/>
      <c r="CE457" s="17"/>
      <c r="CF457" s="17"/>
      <c r="CG457" s="17"/>
      <c r="CH457" s="17"/>
      <c r="CI457" s="17"/>
      <c r="CJ457" s="17"/>
      <c r="CK457" s="17"/>
      <c r="CL457" s="17"/>
      <c r="CM457" s="17"/>
      <c r="CN457" s="17"/>
      <c r="CO457" s="17"/>
      <c r="CP457" s="17"/>
      <c r="CQ457" s="17"/>
      <c r="CR457" s="17"/>
      <c r="CS457" s="17"/>
      <c r="CT457" s="17"/>
      <c r="CU457" s="17"/>
      <c r="CV457" s="17"/>
      <c r="CW457" s="17"/>
      <c r="CX457" s="17"/>
      <c r="CY457" s="17"/>
      <c r="CZ457" s="17"/>
      <c r="DA457" s="17"/>
      <c r="DB457" s="17"/>
      <c r="DC457" s="17"/>
      <c r="DD457" s="17"/>
      <c r="DE457" s="17"/>
      <c r="DF457" s="17"/>
      <c r="DG457" s="17"/>
      <c r="DH457" s="17"/>
      <c r="DI457" s="17"/>
      <c r="DJ457" s="17"/>
      <c r="DK457" s="17"/>
      <c r="DL457" s="17"/>
      <c r="DM457" s="17"/>
      <c r="DN457" s="17"/>
      <c r="DO457" s="17"/>
      <c r="DP457" s="17"/>
      <c r="DQ457" s="17"/>
      <c r="DR457" s="17"/>
      <c r="DS457" s="17"/>
      <c r="DT457" s="17"/>
      <c r="DU457" s="17"/>
      <c r="DV457" s="17"/>
      <c r="DW457" s="17"/>
      <c r="DX457" s="17"/>
      <c r="DY457" s="17"/>
      <c r="DZ457" s="17"/>
      <c r="EA457" s="17"/>
      <c r="EB457" s="17"/>
      <c r="EC457" s="17"/>
    </row>
    <row r="458" spans="1:133" x14ac:dyDescent="0.25">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7"/>
      <c r="BD458" s="17"/>
      <c r="BE458" s="17"/>
      <c r="BF458" s="17"/>
      <c r="BG458" s="17"/>
      <c r="BH458" s="17"/>
      <c r="BI458" s="17"/>
      <c r="BJ458" s="17"/>
      <c r="BK458" s="17"/>
      <c r="BL458" s="17"/>
      <c r="BM458" s="17"/>
      <c r="BN458" s="17"/>
      <c r="BO458" s="17"/>
      <c r="BP458" s="17"/>
      <c r="BQ458" s="17"/>
      <c r="BR458" s="17"/>
      <c r="BS458" s="17"/>
      <c r="BT458" s="17"/>
      <c r="BU458" s="17"/>
      <c r="BV458" s="17"/>
      <c r="BW458" s="17"/>
      <c r="BX458" s="17"/>
      <c r="BY458" s="17"/>
      <c r="BZ458" s="17"/>
      <c r="CA458" s="17"/>
      <c r="CB458" s="17"/>
      <c r="CC458" s="17"/>
      <c r="CD458" s="17"/>
      <c r="CE458" s="17"/>
      <c r="CF458" s="17"/>
      <c r="CG458" s="17"/>
      <c r="CH458" s="17"/>
      <c r="CI458" s="17"/>
      <c r="CJ458" s="17"/>
      <c r="CK458" s="17"/>
      <c r="CL458" s="17"/>
      <c r="CM458" s="17"/>
      <c r="CN458" s="17"/>
      <c r="CO458" s="17"/>
      <c r="CP458" s="17"/>
      <c r="CQ458" s="17"/>
      <c r="CR458" s="17"/>
      <c r="CS458" s="17"/>
      <c r="CT458" s="17"/>
      <c r="CU458" s="17"/>
      <c r="CV458" s="17"/>
      <c r="CW458" s="17"/>
      <c r="CX458" s="17"/>
      <c r="CY458" s="17"/>
      <c r="CZ458" s="17"/>
      <c r="DA458" s="17"/>
      <c r="DB458" s="17"/>
      <c r="DC458" s="17"/>
      <c r="DD458" s="17"/>
      <c r="DE458" s="17"/>
      <c r="DF458" s="17"/>
      <c r="DG458" s="17"/>
      <c r="DH458" s="17"/>
      <c r="DI458" s="17"/>
      <c r="DJ458" s="17"/>
      <c r="DK458" s="17"/>
      <c r="DL458" s="17"/>
      <c r="DM458" s="17"/>
      <c r="DN458" s="17"/>
      <c r="DO458" s="17"/>
      <c r="DP458" s="17"/>
      <c r="DQ458" s="17"/>
      <c r="DR458" s="17"/>
      <c r="DS458" s="17"/>
      <c r="DT458" s="17"/>
      <c r="DU458" s="17"/>
      <c r="DV458" s="17"/>
      <c r="DW458" s="17"/>
      <c r="DX458" s="17"/>
      <c r="DY458" s="17"/>
      <c r="DZ458" s="17"/>
      <c r="EA458" s="17"/>
      <c r="EB458" s="17"/>
      <c r="EC458" s="17"/>
    </row>
    <row r="459" spans="1:133" x14ac:dyDescent="0.25">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c r="BD459" s="17"/>
      <c r="BE459" s="17"/>
      <c r="BF459" s="17"/>
      <c r="BG459" s="17"/>
      <c r="BH459" s="17"/>
      <c r="BI459" s="17"/>
      <c r="BJ459" s="17"/>
      <c r="BK459" s="17"/>
      <c r="BL459" s="17"/>
      <c r="BM459" s="17"/>
      <c r="BN459" s="17"/>
      <c r="BO459" s="17"/>
      <c r="BP459" s="17"/>
      <c r="BQ459" s="17"/>
      <c r="BR459" s="17"/>
      <c r="BS459" s="17"/>
      <c r="BT459" s="17"/>
      <c r="BU459" s="17"/>
      <c r="BV459" s="17"/>
      <c r="BW459" s="17"/>
      <c r="BX459" s="17"/>
      <c r="BY459" s="17"/>
      <c r="BZ459" s="17"/>
      <c r="CA459" s="17"/>
      <c r="CB459" s="17"/>
      <c r="CC459" s="17"/>
      <c r="CD459" s="17"/>
      <c r="CE459" s="17"/>
      <c r="CF459" s="17"/>
      <c r="CG459" s="17"/>
      <c r="CH459" s="17"/>
      <c r="CI459" s="17"/>
      <c r="CJ459" s="17"/>
      <c r="CK459" s="17"/>
      <c r="CL459" s="17"/>
      <c r="CM459" s="17"/>
      <c r="CN459" s="17"/>
      <c r="CO459" s="17"/>
      <c r="CP459" s="17"/>
      <c r="CQ459" s="17"/>
      <c r="CR459" s="17"/>
      <c r="CS459" s="17"/>
      <c r="CT459" s="17"/>
      <c r="CU459" s="17"/>
      <c r="CV459" s="17"/>
      <c r="CW459" s="17"/>
      <c r="CX459" s="17"/>
      <c r="CY459" s="17"/>
      <c r="CZ459" s="17"/>
      <c r="DA459" s="17"/>
      <c r="DB459" s="17"/>
      <c r="DC459" s="17"/>
      <c r="DD459" s="17"/>
      <c r="DE459" s="17"/>
      <c r="DF459" s="17"/>
      <c r="DG459" s="17"/>
      <c r="DH459" s="17"/>
      <c r="DI459" s="17"/>
      <c r="DJ459" s="17"/>
      <c r="DK459" s="17"/>
      <c r="DL459" s="17"/>
      <c r="DM459" s="17"/>
      <c r="DN459" s="17"/>
      <c r="DO459" s="17"/>
      <c r="DP459" s="17"/>
      <c r="DQ459" s="17"/>
      <c r="DR459" s="17"/>
      <c r="DS459" s="17"/>
      <c r="DT459" s="17"/>
      <c r="DU459" s="17"/>
      <c r="DV459" s="17"/>
      <c r="DW459" s="17"/>
      <c r="DX459" s="17"/>
      <c r="DY459" s="17"/>
      <c r="DZ459" s="17"/>
      <c r="EA459" s="17"/>
      <c r="EB459" s="17"/>
      <c r="EC459" s="17"/>
    </row>
    <row r="460" spans="1:133" x14ac:dyDescent="0.25">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7"/>
      <c r="BD460" s="17"/>
      <c r="BE460" s="17"/>
      <c r="BF460" s="17"/>
      <c r="BG460" s="17"/>
      <c r="BH460" s="17"/>
      <c r="BI460" s="17"/>
      <c r="BJ460" s="17"/>
      <c r="BK460" s="17"/>
      <c r="BL460" s="17"/>
      <c r="BM460" s="17"/>
      <c r="BN460" s="17"/>
      <c r="BO460" s="17"/>
      <c r="BP460" s="17"/>
      <c r="BQ460" s="17"/>
      <c r="BR460" s="17"/>
      <c r="BS460" s="17"/>
      <c r="BT460" s="17"/>
      <c r="BU460" s="17"/>
      <c r="BV460" s="17"/>
      <c r="BW460" s="17"/>
      <c r="BX460" s="17"/>
      <c r="BY460" s="17"/>
      <c r="BZ460" s="17"/>
      <c r="CA460" s="17"/>
      <c r="CB460" s="17"/>
      <c r="CC460" s="17"/>
      <c r="CD460" s="17"/>
      <c r="CE460" s="17"/>
      <c r="CF460" s="17"/>
      <c r="CG460" s="17"/>
      <c r="CH460" s="17"/>
      <c r="CI460" s="17"/>
      <c r="CJ460" s="17"/>
      <c r="CK460" s="17"/>
      <c r="CL460" s="17"/>
      <c r="CM460" s="17"/>
      <c r="CN460" s="17"/>
      <c r="CO460" s="17"/>
      <c r="CP460" s="17"/>
      <c r="CQ460" s="17"/>
      <c r="CR460" s="17"/>
      <c r="CS460" s="17"/>
      <c r="CT460" s="17"/>
      <c r="CU460" s="17"/>
      <c r="CV460" s="17"/>
      <c r="CW460" s="17"/>
      <c r="CX460" s="17"/>
      <c r="CY460" s="17"/>
      <c r="CZ460" s="17"/>
      <c r="DA460" s="17"/>
      <c r="DB460" s="17"/>
      <c r="DC460" s="17"/>
      <c r="DD460" s="17"/>
      <c r="DE460" s="17"/>
      <c r="DF460" s="17"/>
      <c r="DG460" s="17"/>
      <c r="DH460" s="17"/>
      <c r="DI460" s="17"/>
      <c r="DJ460" s="17"/>
      <c r="DK460" s="17"/>
      <c r="DL460" s="17"/>
      <c r="DM460" s="17"/>
      <c r="DN460" s="17"/>
      <c r="DO460" s="17"/>
      <c r="DP460" s="17"/>
      <c r="DQ460" s="17"/>
      <c r="DR460" s="17"/>
      <c r="DS460" s="17"/>
      <c r="DT460" s="17"/>
      <c r="DU460" s="17"/>
      <c r="DV460" s="17"/>
      <c r="DW460" s="17"/>
      <c r="DX460" s="17"/>
      <c r="DY460" s="17"/>
      <c r="DZ460" s="17"/>
      <c r="EA460" s="17"/>
      <c r="EB460" s="17"/>
      <c r="EC460" s="17"/>
    </row>
    <row r="461" spans="1:133" x14ac:dyDescent="0.25">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c r="BC461" s="17"/>
      <c r="BD461" s="17"/>
      <c r="BE461" s="17"/>
      <c r="BF461" s="17"/>
      <c r="BG461" s="17"/>
      <c r="BH461" s="17"/>
      <c r="BI461" s="17"/>
      <c r="BJ461" s="17"/>
      <c r="BK461" s="17"/>
      <c r="BL461" s="17"/>
      <c r="BM461" s="17"/>
      <c r="BN461" s="17"/>
      <c r="BO461" s="17"/>
      <c r="BP461" s="17"/>
      <c r="BQ461" s="17"/>
      <c r="BR461" s="17"/>
      <c r="BS461" s="17"/>
      <c r="BT461" s="17"/>
      <c r="BU461" s="17"/>
      <c r="BV461" s="17"/>
      <c r="BW461" s="17"/>
      <c r="BX461" s="17"/>
      <c r="BY461" s="17"/>
      <c r="BZ461" s="17"/>
      <c r="CA461" s="17"/>
      <c r="CB461" s="17"/>
      <c r="CC461" s="17"/>
      <c r="CD461" s="17"/>
      <c r="CE461" s="17"/>
      <c r="CF461" s="17"/>
      <c r="CG461" s="17"/>
      <c r="CH461" s="17"/>
      <c r="CI461" s="17"/>
      <c r="CJ461" s="17"/>
      <c r="CK461" s="17"/>
      <c r="CL461" s="17"/>
      <c r="CM461" s="17"/>
      <c r="CN461" s="17"/>
      <c r="CO461" s="17"/>
      <c r="CP461" s="17"/>
      <c r="CQ461" s="17"/>
      <c r="CR461" s="17"/>
      <c r="CS461" s="17"/>
      <c r="CT461" s="17"/>
      <c r="CU461" s="17"/>
      <c r="CV461" s="17"/>
      <c r="CW461" s="17"/>
      <c r="CX461" s="17"/>
      <c r="CY461" s="17"/>
      <c r="CZ461" s="17"/>
      <c r="DA461" s="17"/>
      <c r="DB461" s="17"/>
      <c r="DC461" s="17"/>
      <c r="DD461" s="17"/>
      <c r="DE461" s="17"/>
      <c r="DF461" s="17"/>
      <c r="DG461" s="17"/>
      <c r="DH461" s="17"/>
      <c r="DI461" s="17"/>
      <c r="DJ461" s="17"/>
      <c r="DK461" s="17"/>
      <c r="DL461" s="17"/>
      <c r="DM461" s="17"/>
      <c r="DN461" s="17"/>
      <c r="DO461" s="17"/>
      <c r="DP461" s="17"/>
      <c r="DQ461" s="17"/>
      <c r="DR461" s="17"/>
      <c r="DS461" s="17"/>
      <c r="DT461" s="17"/>
      <c r="DU461" s="17"/>
      <c r="DV461" s="17"/>
      <c r="DW461" s="17"/>
      <c r="DX461" s="17"/>
      <c r="DY461" s="17"/>
      <c r="DZ461" s="17"/>
      <c r="EA461" s="17"/>
      <c r="EB461" s="17"/>
      <c r="EC461" s="17"/>
    </row>
    <row r="462" spans="1:133" x14ac:dyDescent="0.25">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7"/>
      <c r="BD462" s="17"/>
      <c r="BE462" s="17"/>
      <c r="BF462" s="17"/>
      <c r="BG462" s="17"/>
      <c r="BH462" s="17"/>
      <c r="BI462" s="17"/>
      <c r="BJ462" s="17"/>
      <c r="BK462" s="17"/>
      <c r="BL462" s="17"/>
      <c r="BM462" s="17"/>
      <c r="BN462" s="17"/>
      <c r="BO462" s="17"/>
      <c r="BP462" s="17"/>
      <c r="BQ462" s="17"/>
      <c r="BR462" s="17"/>
      <c r="BS462" s="17"/>
      <c r="BT462" s="17"/>
      <c r="BU462" s="17"/>
      <c r="BV462" s="17"/>
      <c r="BW462" s="17"/>
      <c r="BX462" s="17"/>
      <c r="BY462" s="17"/>
      <c r="BZ462" s="17"/>
      <c r="CA462" s="17"/>
      <c r="CB462" s="17"/>
      <c r="CC462" s="17"/>
      <c r="CD462" s="17"/>
      <c r="CE462" s="17"/>
      <c r="CF462" s="17"/>
      <c r="CG462" s="17"/>
      <c r="CH462" s="17"/>
      <c r="CI462" s="17"/>
      <c r="CJ462" s="17"/>
      <c r="CK462" s="17"/>
      <c r="CL462" s="17"/>
      <c r="CM462" s="17"/>
      <c r="CN462" s="17"/>
      <c r="CO462" s="17"/>
      <c r="CP462" s="17"/>
      <c r="CQ462" s="17"/>
      <c r="CR462" s="17"/>
      <c r="CS462" s="17"/>
      <c r="CT462" s="17"/>
      <c r="CU462" s="17"/>
      <c r="CV462" s="17"/>
      <c r="CW462" s="17"/>
      <c r="CX462" s="17"/>
      <c r="CY462" s="17"/>
      <c r="CZ462" s="17"/>
      <c r="DA462" s="17"/>
      <c r="DB462" s="17"/>
      <c r="DC462" s="17"/>
      <c r="DD462" s="17"/>
      <c r="DE462" s="17"/>
      <c r="DF462" s="17"/>
      <c r="DG462" s="17"/>
      <c r="DH462" s="17"/>
      <c r="DI462" s="17"/>
      <c r="DJ462" s="17"/>
      <c r="DK462" s="17"/>
      <c r="DL462" s="17"/>
      <c r="DM462" s="17"/>
      <c r="DN462" s="17"/>
      <c r="DO462" s="17"/>
      <c r="DP462" s="17"/>
      <c r="DQ462" s="17"/>
      <c r="DR462" s="17"/>
      <c r="DS462" s="17"/>
      <c r="DT462" s="17"/>
      <c r="DU462" s="17"/>
      <c r="DV462" s="17"/>
      <c r="DW462" s="17"/>
      <c r="DX462" s="17"/>
      <c r="DY462" s="17"/>
      <c r="DZ462" s="17"/>
      <c r="EA462" s="17"/>
      <c r="EB462" s="17"/>
      <c r="EC462" s="17"/>
    </row>
    <row r="463" spans="1:133" x14ac:dyDescent="0.25">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7"/>
      <c r="BD463" s="17"/>
      <c r="BE463" s="17"/>
      <c r="BF463" s="17"/>
      <c r="BG463" s="17"/>
      <c r="BH463" s="17"/>
      <c r="BI463" s="17"/>
      <c r="BJ463" s="17"/>
      <c r="BK463" s="17"/>
      <c r="BL463" s="17"/>
      <c r="BM463" s="17"/>
      <c r="BN463" s="17"/>
      <c r="BO463" s="17"/>
      <c r="BP463" s="17"/>
      <c r="BQ463" s="17"/>
      <c r="BR463" s="17"/>
      <c r="BS463" s="17"/>
      <c r="BT463" s="17"/>
      <c r="BU463" s="17"/>
      <c r="BV463" s="17"/>
      <c r="BW463" s="17"/>
      <c r="BX463" s="17"/>
      <c r="BY463" s="17"/>
      <c r="BZ463" s="17"/>
      <c r="CA463" s="17"/>
      <c r="CB463" s="17"/>
      <c r="CC463" s="17"/>
      <c r="CD463" s="17"/>
      <c r="CE463" s="17"/>
      <c r="CF463" s="17"/>
      <c r="CG463" s="17"/>
      <c r="CH463" s="17"/>
      <c r="CI463" s="17"/>
      <c r="CJ463" s="17"/>
      <c r="CK463" s="17"/>
      <c r="CL463" s="17"/>
      <c r="CM463" s="17"/>
      <c r="CN463" s="17"/>
      <c r="CO463" s="17"/>
      <c r="CP463" s="17"/>
      <c r="CQ463" s="17"/>
      <c r="CR463" s="17"/>
      <c r="CS463" s="17"/>
      <c r="CT463" s="17"/>
      <c r="CU463" s="17"/>
      <c r="CV463" s="17"/>
      <c r="CW463" s="17"/>
      <c r="CX463" s="17"/>
      <c r="CY463" s="17"/>
      <c r="CZ463" s="17"/>
      <c r="DA463" s="17"/>
      <c r="DB463" s="17"/>
      <c r="DC463" s="17"/>
      <c r="DD463" s="17"/>
      <c r="DE463" s="17"/>
      <c r="DF463" s="17"/>
      <c r="DG463" s="17"/>
      <c r="DH463" s="17"/>
      <c r="DI463" s="17"/>
      <c r="DJ463" s="17"/>
      <c r="DK463" s="17"/>
      <c r="DL463" s="17"/>
      <c r="DM463" s="17"/>
      <c r="DN463" s="17"/>
      <c r="DO463" s="17"/>
      <c r="DP463" s="17"/>
      <c r="DQ463" s="17"/>
      <c r="DR463" s="17"/>
      <c r="DS463" s="17"/>
      <c r="DT463" s="17"/>
      <c r="DU463" s="17"/>
      <c r="DV463" s="17"/>
      <c r="DW463" s="17"/>
      <c r="DX463" s="17"/>
      <c r="DY463" s="17"/>
      <c r="DZ463" s="17"/>
      <c r="EA463" s="17"/>
      <c r="EB463" s="17"/>
      <c r="EC463" s="17"/>
    </row>
    <row r="464" spans="1:133" x14ac:dyDescent="0.25">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c r="BC464" s="17"/>
      <c r="BD464" s="17"/>
      <c r="BE464" s="17"/>
      <c r="BF464" s="17"/>
      <c r="BG464" s="17"/>
      <c r="BH464" s="17"/>
      <c r="BI464" s="17"/>
      <c r="BJ464" s="17"/>
      <c r="BK464" s="17"/>
      <c r="BL464" s="17"/>
      <c r="BM464" s="17"/>
      <c r="BN464" s="17"/>
      <c r="BO464" s="17"/>
      <c r="BP464" s="17"/>
      <c r="BQ464" s="17"/>
      <c r="BR464" s="17"/>
      <c r="BS464" s="17"/>
      <c r="BT464" s="17"/>
      <c r="BU464" s="17"/>
      <c r="BV464" s="17"/>
      <c r="BW464" s="17"/>
      <c r="BX464" s="17"/>
      <c r="BY464" s="17"/>
      <c r="BZ464" s="17"/>
      <c r="CA464" s="17"/>
      <c r="CB464" s="17"/>
      <c r="CC464" s="17"/>
      <c r="CD464" s="17"/>
      <c r="CE464" s="17"/>
      <c r="CF464" s="17"/>
      <c r="CG464" s="17"/>
      <c r="CH464" s="17"/>
      <c r="CI464" s="17"/>
      <c r="CJ464" s="17"/>
      <c r="CK464" s="17"/>
      <c r="CL464" s="17"/>
      <c r="CM464" s="17"/>
      <c r="CN464" s="17"/>
      <c r="CO464" s="17"/>
      <c r="CP464" s="17"/>
      <c r="CQ464" s="17"/>
      <c r="CR464" s="17"/>
      <c r="CS464" s="17"/>
      <c r="CT464" s="17"/>
      <c r="CU464" s="17"/>
      <c r="CV464" s="17"/>
      <c r="CW464" s="17"/>
      <c r="CX464" s="17"/>
      <c r="CY464" s="17"/>
      <c r="CZ464" s="17"/>
      <c r="DA464" s="17"/>
      <c r="DB464" s="17"/>
      <c r="DC464" s="17"/>
      <c r="DD464" s="17"/>
      <c r="DE464" s="17"/>
      <c r="DF464" s="17"/>
      <c r="DG464" s="17"/>
      <c r="DH464" s="17"/>
      <c r="DI464" s="17"/>
      <c r="DJ464" s="17"/>
      <c r="DK464" s="17"/>
      <c r="DL464" s="17"/>
      <c r="DM464" s="17"/>
      <c r="DN464" s="17"/>
      <c r="DO464" s="17"/>
      <c r="DP464" s="17"/>
      <c r="DQ464" s="17"/>
      <c r="DR464" s="17"/>
      <c r="DS464" s="17"/>
      <c r="DT464" s="17"/>
      <c r="DU464" s="17"/>
      <c r="DV464" s="17"/>
      <c r="DW464" s="17"/>
      <c r="DX464" s="17"/>
      <c r="DY464" s="17"/>
      <c r="DZ464" s="17"/>
      <c r="EA464" s="17"/>
      <c r="EB464" s="17"/>
      <c r="EC464" s="17"/>
    </row>
    <row r="465" spans="1:133" x14ac:dyDescent="0.2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c r="BC465" s="17"/>
      <c r="BD465" s="17"/>
      <c r="BE465" s="17"/>
      <c r="BF465" s="17"/>
      <c r="BG465" s="17"/>
      <c r="BH465" s="17"/>
      <c r="BI465" s="17"/>
      <c r="BJ465" s="17"/>
      <c r="BK465" s="17"/>
      <c r="BL465" s="17"/>
      <c r="BM465" s="17"/>
      <c r="BN465" s="17"/>
      <c r="BO465" s="17"/>
      <c r="BP465" s="17"/>
      <c r="BQ465" s="17"/>
      <c r="BR465" s="17"/>
      <c r="BS465" s="17"/>
      <c r="BT465" s="17"/>
      <c r="BU465" s="17"/>
      <c r="BV465" s="17"/>
      <c r="BW465" s="17"/>
      <c r="BX465" s="17"/>
      <c r="BY465" s="17"/>
      <c r="BZ465" s="17"/>
      <c r="CA465" s="17"/>
      <c r="CB465" s="17"/>
      <c r="CC465" s="17"/>
      <c r="CD465" s="17"/>
      <c r="CE465" s="17"/>
      <c r="CF465" s="17"/>
      <c r="CG465" s="17"/>
      <c r="CH465" s="17"/>
      <c r="CI465" s="17"/>
      <c r="CJ465" s="17"/>
      <c r="CK465" s="17"/>
      <c r="CL465" s="17"/>
      <c r="CM465" s="17"/>
      <c r="CN465" s="17"/>
      <c r="CO465" s="17"/>
      <c r="CP465" s="17"/>
      <c r="CQ465" s="17"/>
      <c r="CR465" s="17"/>
      <c r="CS465" s="17"/>
      <c r="CT465" s="17"/>
      <c r="CU465" s="17"/>
      <c r="CV465" s="17"/>
      <c r="CW465" s="17"/>
      <c r="CX465" s="17"/>
      <c r="CY465" s="17"/>
      <c r="CZ465" s="17"/>
      <c r="DA465" s="17"/>
      <c r="DB465" s="17"/>
      <c r="DC465" s="17"/>
      <c r="DD465" s="17"/>
      <c r="DE465" s="17"/>
      <c r="DF465" s="17"/>
      <c r="DG465" s="17"/>
      <c r="DH465" s="17"/>
      <c r="DI465" s="17"/>
      <c r="DJ465" s="17"/>
      <c r="DK465" s="17"/>
      <c r="DL465" s="17"/>
      <c r="DM465" s="17"/>
      <c r="DN465" s="17"/>
      <c r="DO465" s="17"/>
      <c r="DP465" s="17"/>
      <c r="DQ465" s="17"/>
      <c r="DR465" s="17"/>
      <c r="DS465" s="17"/>
      <c r="DT465" s="17"/>
      <c r="DU465" s="17"/>
      <c r="DV465" s="17"/>
      <c r="DW465" s="17"/>
      <c r="DX465" s="17"/>
      <c r="DY465" s="17"/>
      <c r="DZ465" s="17"/>
      <c r="EA465" s="17"/>
      <c r="EB465" s="17"/>
      <c r="EC465" s="17"/>
    </row>
    <row r="466" spans="1:133" x14ac:dyDescent="0.25">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7"/>
      <c r="BD466" s="17"/>
      <c r="BE466" s="17"/>
      <c r="BF466" s="17"/>
      <c r="BG466" s="17"/>
      <c r="BH466" s="17"/>
      <c r="BI466" s="17"/>
      <c r="BJ466" s="17"/>
      <c r="BK466" s="17"/>
      <c r="BL466" s="17"/>
      <c r="BM466" s="17"/>
      <c r="BN466" s="17"/>
      <c r="BO466" s="17"/>
      <c r="BP466" s="17"/>
      <c r="BQ466" s="17"/>
      <c r="BR466" s="17"/>
      <c r="BS466" s="17"/>
      <c r="BT466" s="17"/>
      <c r="BU466" s="17"/>
      <c r="BV466" s="17"/>
      <c r="BW466" s="17"/>
      <c r="BX466" s="17"/>
      <c r="BY466" s="17"/>
      <c r="BZ466" s="17"/>
      <c r="CA466" s="17"/>
      <c r="CB466" s="17"/>
      <c r="CC466" s="17"/>
      <c r="CD466" s="17"/>
      <c r="CE466" s="17"/>
      <c r="CF466" s="17"/>
      <c r="CG466" s="17"/>
      <c r="CH466" s="17"/>
      <c r="CI466" s="17"/>
      <c r="CJ466" s="17"/>
      <c r="CK466" s="17"/>
      <c r="CL466" s="17"/>
      <c r="CM466" s="17"/>
      <c r="CN466" s="17"/>
      <c r="CO466" s="17"/>
      <c r="CP466" s="17"/>
      <c r="CQ466" s="17"/>
      <c r="CR466" s="17"/>
      <c r="CS466" s="17"/>
      <c r="CT466" s="17"/>
      <c r="CU466" s="17"/>
      <c r="CV466" s="17"/>
      <c r="CW466" s="17"/>
      <c r="CX466" s="17"/>
      <c r="CY466" s="17"/>
      <c r="CZ466" s="17"/>
      <c r="DA466" s="17"/>
      <c r="DB466" s="17"/>
      <c r="DC466" s="17"/>
      <c r="DD466" s="17"/>
      <c r="DE466" s="17"/>
      <c r="DF466" s="17"/>
      <c r="DG466" s="17"/>
      <c r="DH466" s="17"/>
      <c r="DI466" s="17"/>
      <c r="DJ466" s="17"/>
      <c r="DK466" s="17"/>
      <c r="DL466" s="17"/>
      <c r="DM466" s="17"/>
      <c r="DN466" s="17"/>
      <c r="DO466" s="17"/>
      <c r="DP466" s="17"/>
      <c r="DQ466" s="17"/>
      <c r="DR466" s="17"/>
      <c r="DS466" s="17"/>
      <c r="DT466" s="17"/>
      <c r="DU466" s="17"/>
      <c r="DV466" s="17"/>
      <c r="DW466" s="17"/>
      <c r="DX466" s="17"/>
      <c r="DY466" s="17"/>
      <c r="DZ466" s="17"/>
      <c r="EA466" s="17"/>
      <c r="EB466" s="17"/>
      <c r="EC466" s="17"/>
    </row>
    <row r="467" spans="1:133" x14ac:dyDescent="0.25">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c r="BD467" s="17"/>
      <c r="BE467" s="17"/>
      <c r="BF467" s="17"/>
      <c r="BG467" s="17"/>
      <c r="BH467" s="17"/>
      <c r="BI467" s="17"/>
      <c r="BJ467" s="17"/>
      <c r="BK467" s="17"/>
      <c r="BL467" s="17"/>
      <c r="BM467" s="17"/>
      <c r="BN467" s="17"/>
      <c r="BO467" s="17"/>
      <c r="BP467" s="17"/>
      <c r="BQ467" s="17"/>
      <c r="BR467" s="17"/>
      <c r="BS467" s="17"/>
      <c r="BT467" s="17"/>
      <c r="BU467" s="17"/>
      <c r="BV467" s="17"/>
      <c r="BW467" s="17"/>
      <c r="BX467" s="17"/>
      <c r="BY467" s="17"/>
      <c r="BZ467" s="17"/>
      <c r="CA467" s="17"/>
      <c r="CB467" s="17"/>
      <c r="CC467" s="17"/>
      <c r="CD467" s="17"/>
      <c r="CE467" s="17"/>
      <c r="CF467" s="17"/>
      <c r="CG467" s="17"/>
      <c r="CH467" s="17"/>
      <c r="CI467" s="17"/>
      <c r="CJ467" s="17"/>
      <c r="CK467" s="17"/>
      <c r="CL467" s="17"/>
      <c r="CM467" s="17"/>
      <c r="CN467" s="17"/>
      <c r="CO467" s="17"/>
      <c r="CP467" s="17"/>
      <c r="CQ467" s="17"/>
      <c r="CR467" s="17"/>
      <c r="CS467" s="17"/>
      <c r="CT467" s="17"/>
      <c r="CU467" s="17"/>
      <c r="CV467" s="17"/>
      <c r="CW467" s="17"/>
      <c r="CX467" s="17"/>
      <c r="CY467" s="17"/>
      <c r="CZ467" s="17"/>
      <c r="DA467" s="17"/>
      <c r="DB467" s="17"/>
      <c r="DC467" s="17"/>
      <c r="DD467" s="17"/>
      <c r="DE467" s="17"/>
      <c r="DF467" s="17"/>
      <c r="DG467" s="17"/>
      <c r="DH467" s="17"/>
      <c r="DI467" s="17"/>
      <c r="DJ467" s="17"/>
      <c r="DK467" s="17"/>
      <c r="DL467" s="17"/>
      <c r="DM467" s="17"/>
      <c r="DN467" s="17"/>
      <c r="DO467" s="17"/>
      <c r="DP467" s="17"/>
      <c r="DQ467" s="17"/>
      <c r="DR467" s="17"/>
      <c r="DS467" s="17"/>
      <c r="DT467" s="17"/>
      <c r="DU467" s="17"/>
      <c r="DV467" s="17"/>
      <c r="DW467" s="17"/>
      <c r="DX467" s="17"/>
      <c r="DY467" s="17"/>
      <c r="DZ467" s="17"/>
      <c r="EA467" s="17"/>
      <c r="EB467" s="17"/>
      <c r="EC467" s="17"/>
    </row>
    <row r="468" spans="1:133" x14ac:dyDescent="0.25">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c r="BC468" s="17"/>
      <c r="BD468" s="17"/>
      <c r="BE468" s="17"/>
      <c r="BF468" s="17"/>
      <c r="BG468" s="17"/>
      <c r="BH468" s="17"/>
      <c r="BI468" s="17"/>
      <c r="BJ468" s="17"/>
      <c r="BK468" s="17"/>
      <c r="BL468" s="17"/>
      <c r="BM468" s="17"/>
      <c r="BN468" s="17"/>
      <c r="BO468" s="17"/>
      <c r="BP468" s="17"/>
      <c r="BQ468" s="17"/>
      <c r="BR468" s="17"/>
      <c r="BS468" s="17"/>
      <c r="BT468" s="17"/>
      <c r="BU468" s="17"/>
      <c r="BV468" s="17"/>
      <c r="BW468" s="17"/>
      <c r="BX468" s="17"/>
      <c r="BY468" s="17"/>
      <c r="BZ468" s="17"/>
      <c r="CA468" s="17"/>
      <c r="CB468" s="17"/>
      <c r="CC468" s="17"/>
      <c r="CD468" s="17"/>
      <c r="CE468" s="17"/>
      <c r="CF468" s="17"/>
      <c r="CG468" s="17"/>
      <c r="CH468" s="17"/>
      <c r="CI468" s="17"/>
      <c r="CJ468" s="17"/>
      <c r="CK468" s="17"/>
      <c r="CL468" s="17"/>
      <c r="CM468" s="17"/>
      <c r="CN468" s="17"/>
      <c r="CO468" s="17"/>
      <c r="CP468" s="17"/>
      <c r="CQ468" s="17"/>
      <c r="CR468" s="17"/>
      <c r="CS468" s="17"/>
      <c r="CT468" s="17"/>
      <c r="CU468" s="17"/>
      <c r="CV468" s="17"/>
      <c r="CW468" s="17"/>
      <c r="CX468" s="17"/>
      <c r="CY468" s="17"/>
      <c r="CZ468" s="17"/>
      <c r="DA468" s="17"/>
      <c r="DB468" s="17"/>
      <c r="DC468" s="17"/>
      <c r="DD468" s="17"/>
      <c r="DE468" s="17"/>
      <c r="DF468" s="17"/>
      <c r="DG468" s="17"/>
      <c r="DH468" s="17"/>
      <c r="DI468" s="17"/>
      <c r="DJ468" s="17"/>
      <c r="DK468" s="17"/>
      <c r="DL468" s="17"/>
      <c r="DM468" s="17"/>
      <c r="DN468" s="17"/>
      <c r="DO468" s="17"/>
      <c r="DP468" s="17"/>
      <c r="DQ468" s="17"/>
      <c r="DR468" s="17"/>
      <c r="DS468" s="17"/>
      <c r="DT468" s="17"/>
      <c r="DU468" s="17"/>
      <c r="DV468" s="17"/>
      <c r="DW468" s="17"/>
      <c r="DX468" s="17"/>
      <c r="DY468" s="17"/>
      <c r="DZ468" s="17"/>
      <c r="EA468" s="17"/>
      <c r="EB468" s="17"/>
      <c r="EC468" s="17"/>
    </row>
    <row r="469" spans="1:133" x14ac:dyDescent="0.25">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7"/>
      <c r="BD469" s="17"/>
      <c r="BE469" s="17"/>
      <c r="BF469" s="17"/>
      <c r="BG469" s="17"/>
      <c r="BH469" s="17"/>
      <c r="BI469" s="17"/>
      <c r="BJ469" s="17"/>
      <c r="BK469" s="17"/>
      <c r="BL469" s="17"/>
      <c r="BM469" s="17"/>
      <c r="BN469" s="17"/>
      <c r="BO469" s="17"/>
      <c r="BP469" s="17"/>
      <c r="BQ469" s="17"/>
      <c r="BR469" s="17"/>
      <c r="BS469" s="17"/>
      <c r="BT469" s="17"/>
      <c r="BU469" s="17"/>
      <c r="BV469" s="17"/>
      <c r="BW469" s="17"/>
      <c r="BX469" s="17"/>
      <c r="BY469" s="17"/>
      <c r="BZ469" s="17"/>
      <c r="CA469" s="17"/>
      <c r="CB469" s="17"/>
      <c r="CC469" s="17"/>
      <c r="CD469" s="17"/>
      <c r="CE469" s="17"/>
      <c r="CF469" s="17"/>
      <c r="CG469" s="17"/>
      <c r="CH469" s="17"/>
      <c r="CI469" s="17"/>
      <c r="CJ469" s="17"/>
      <c r="CK469" s="17"/>
      <c r="CL469" s="17"/>
      <c r="CM469" s="17"/>
      <c r="CN469" s="17"/>
      <c r="CO469" s="17"/>
      <c r="CP469" s="17"/>
      <c r="CQ469" s="17"/>
      <c r="CR469" s="17"/>
      <c r="CS469" s="17"/>
      <c r="CT469" s="17"/>
      <c r="CU469" s="17"/>
      <c r="CV469" s="17"/>
      <c r="CW469" s="17"/>
      <c r="CX469" s="17"/>
      <c r="CY469" s="17"/>
      <c r="CZ469" s="17"/>
      <c r="DA469" s="17"/>
      <c r="DB469" s="17"/>
      <c r="DC469" s="17"/>
      <c r="DD469" s="17"/>
      <c r="DE469" s="17"/>
      <c r="DF469" s="17"/>
      <c r="DG469" s="17"/>
      <c r="DH469" s="17"/>
      <c r="DI469" s="17"/>
      <c r="DJ469" s="17"/>
      <c r="DK469" s="17"/>
      <c r="DL469" s="17"/>
      <c r="DM469" s="17"/>
      <c r="DN469" s="17"/>
      <c r="DO469" s="17"/>
      <c r="DP469" s="17"/>
      <c r="DQ469" s="17"/>
      <c r="DR469" s="17"/>
      <c r="DS469" s="17"/>
      <c r="DT469" s="17"/>
      <c r="DU469" s="17"/>
      <c r="DV469" s="17"/>
      <c r="DW469" s="17"/>
      <c r="DX469" s="17"/>
      <c r="DY469" s="17"/>
      <c r="DZ469" s="17"/>
      <c r="EA469" s="17"/>
      <c r="EB469" s="17"/>
      <c r="EC469" s="17"/>
    </row>
    <row r="470" spans="1:133" x14ac:dyDescent="0.25">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c r="BC470" s="17"/>
      <c r="BD470" s="17"/>
      <c r="BE470" s="17"/>
      <c r="BF470" s="17"/>
      <c r="BG470" s="17"/>
      <c r="BH470" s="17"/>
      <c r="BI470" s="17"/>
      <c r="BJ470" s="17"/>
      <c r="BK470" s="17"/>
      <c r="BL470" s="17"/>
      <c r="BM470" s="17"/>
      <c r="BN470" s="17"/>
      <c r="BO470" s="17"/>
      <c r="BP470" s="17"/>
      <c r="BQ470" s="17"/>
      <c r="BR470" s="17"/>
      <c r="BS470" s="17"/>
      <c r="BT470" s="17"/>
      <c r="BU470" s="17"/>
      <c r="BV470" s="17"/>
      <c r="BW470" s="17"/>
      <c r="BX470" s="17"/>
      <c r="BY470" s="17"/>
      <c r="BZ470" s="17"/>
      <c r="CA470" s="17"/>
      <c r="CB470" s="17"/>
      <c r="CC470" s="17"/>
      <c r="CD470" s="17"/>
      <c r="CE470" s="17"/>
      <c r="CF470" s="17"/>
      <c r="CG470" s="17"/>
      <c r="CH470" s="17"/>
      <c r="CI470" s="17"/>
      <c r="CJ470" s="17"/>
      <c r="CK470" s="17"/>
      <c r="CL470" s="17"/>
      <c r="CM470" s="17"/>
      <c r="CN470" s="17"/>
      <c r="CO470" s="17"/>
      <c r="CP470" s="17"/>
      <c r="CQ470" s="17"/>
      <c r="CR470" s="17"/>
      <c r="CS470" s="17"/>
      <c r="CT470" s="17"/>
      <c r="CU470" s="17"/>
      <c r="CV470" s="17"/>
      <c r="CW470" s="17"/>
      <c r="CX470" s="17"/>
      <c r="CY470" s="17"/>
      <c r="CZ470" s="17"/>
      <c r="DA470" s="17"/>
      <c r="DB470" s="17"/>
      <c r="DC470" s="17"/>
      <c r="DD470" s="17"/>
      <c r="DE470" s="17"/>
      <c r="DF470" s="17"/>
      <c r="DG470" s="17"/>
      <c r="DH470" s="17"/>
      <c r="DI470" s="17"/>
      <c r="DJ470" s="17"/>
      <c r="DK470" s="17"/>
      <c r="DL470" s="17"/>
      <c r="DM470" s="17"/>
      <c r="DN470" s="17"/>
      <c r="DO470" s="17"/>
      <c r="DP470" s="17"/>
      <c r="DQ470" s="17"/>
      <c r="DR470" s="17"/>
      <c r="DS470" s="17"/>
      <c r="DT470" s="17"/>
      <c r="DU470" s="17"/>
      <c r="DV470" s="17"/>
      <c r="DW470" s="17"/>
      <c r="DX470" s="17"/>
      <c r="DY470" s="17"/>
      <c r="DZ470" s="17"/>
      <c r="EA470" s="17"/>
      <c r="EB470" s="17"/>
      <c r="EC470" s="17"/>
    </row>
    <row r="471" spans="1:133" x14ac:dyDescent="0.25">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c r="BC471" s="17"/>
      <c r="BD471" s="17"/>
      <c r="BE471" s="17"/>
      <c r="BF471" s="17"/>
      <c r="BG471" s="17"/>
      <c r="BH471" s="17"/>
      <c r="BI471" s="17"/>
      <c r="BJ471" s="17"/>
      <c r="BK471" s="17"/>
      <c r="BL471" s="17"/>
      <c r="BM471" s="17"/>
      <c r="BN471" s="17"/>
      <c r="BO471" s="17"/>
      <c r="BP471" s="17"/>
      <c r="BQ471" s="17"/>
      <c r="BR471" s="17"/>
      <c r="BS471" s="17"/>
      <c r="BT471" s="17"/>
      <c r="BU471" s="17"/>
      <c r="BV471" s="17"/>
      <c r="BW471" s="17"/>
      <c r="BX471" s="17"/>
      <c r="BY471" s="17"/>
      <c r="BZ471" s="17"/>
      <c r="CA471" s="17"/>
      <c r="CB471" s="17"/>
      <c r="CC471" s="17"/>
      <c r="CD471" s="17"/>
      <c r="CE471" s="17"/>
      <c r="CF471" s="17"/>
      <c r="CG471" s="17"/>
      <c r="CH471" s="17"/>
      <c r="CI471" s="17"/>
      <c r="CJ471" s="17"/>
      <c r="CK471" s="17"/>
      <c r="CL471" s="17"/>
      <c r="CM471" s="17"/>
      <c r="CN471" s="17"/>
      <c r="CO471" s="17"/>
      <c r="CP471" s="17"/>
      <c r="CQ471" s="17"/>
      <c r="CR471" s="17"/>
      <c r="CS471" s="17"/>
      <c r="CT471" s="17"/>
      <c r="CU471" s="17"/>
      <c r="CV471" s="17"/>
      <c r="CW471" s="17"/>
      <c r="CX471" s="17"/>
      <c r="CY471" s="17"/>
      <c r="CZ471" s="17"/>
      <c r="DA471" s="17"/>
      <c r="DB471" s="17"/>
      <c r="DC471" s="17"/>
      <c r="DD471" s="17"/>
      <c r="DE471" s="17"/>
      <c r="DF471" s="17"/>
      <c r="DG471" s="17"/>
      <c r="DH471" s="17"/>
      <c r="DI471" s="17"/>
      <c r="DJ471" s="17"/>
      <c r="DK471" s="17"/>
      <c r="DL471" s="17"/>
      <c r="DM471" s="17"/>
      <c r="DN471" s="17"/>
      <c r="DO471" s="17"/>
      <c r="DP471" s="17"/>
      <c r="DQ471" s="17"/>
      <c r="DR471" s="17"/>
      <c r="DS471" s="17"/>
      <c r="DT471" s="17"/>
      <c r="DU471" s="17"/>
      <c r="DV471" s="17"/>
      <c r="DW471" s="17"/>
      <c r="DX471" s="17"/>
      <c r="DY471" s="17"/>
      <c r="DZ471" s="17"/>
      <c r="EA471" s="17"/>
      <c r="EB471" s="17"/>
      <c r="EC471" s="17"/>
    </row>
    <row r="472" spans="1:133" x14ac:dyDescent="0.25">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7"/>
      <c r="BD472" s="17"/>
      <c r="BE472" s="17"/>
      <c r="BF472" s="17"/>
      <c r="BG472" s="17"/>
      <c r="BH472" s="17"/>
      <c r="BI472" s="17"/>
      <c r="BJ472" s="17"/>
      <c r="BK472" s="17"/>
      <c r="BL472" s="17"/>
      <c r="BM472" s="17"/>
      <c r="BN472" s="17"/>
      <c r="BO472" s="17"/>
      <c r="BP472" s="17"/>
      <c r="BQ472" s="17"/>
      <c r="BR472" s="17"/>
      <c r="BS472" s="17"/>
      <c r="BT472" s="17"/>
      <c r="BU472" s="17"/>
      <c r="BV472" s="17"/>
      <c r="BW472" s="17"/>
      <c r="BX472" s="17"/>
      <c r="BY472" s="17"/>
      <c r="BZ472" s="17"/>
      <c r="CA472" s="17"/>
      <c r="CB472" s="17"/>
      <c r="CC472" s="17"/>
      <c r="CD472" s="17"/>
      <c r="CE472" s="17"/>
      <c r="CF472" s="17"/>
      <c r="CG472" s="17"/>
      <c r="CH472" s="17"/>
      <c r="CI472" s="17"/>
      <c r="CJ472" s="17"/>
      <c r="CK472" s="17"/>
      <c r="CL472" s="17"/>
      <c r="CM472" s="17"/>
      <c r="CN472" s="17"/>
      <c r="CO472" s="17"/>
      <c r="CP472" s="17"/>
      <c r="CQ472" s="17"/>
      <c r="CR472" s="17"/>
      <c r="CS472" s="17"/>
      <c r="CT472" s="17"/>
      <c r="CU472" s="17"/>
      <c r="CV472" s="17"/>
      <c r="CW472" s="17"/>
      <c r="CX472" s="17"/>
      <c r="CY472" s="17"/>
      <c r="CZ472" s="17"/>
      <c r="DA472" s="17"/>
      <c r="DB472" s="17"/>
      <c r="DC472" s="17"/>
      <c r="DD472" s="17"/>
      <c r="DE472" s="17"/>
      <c r="DF472" s="17"/>
      <c r="DG472" s="17"/>
      <c r="DH472" s="17"/>
      <c r="DI472" s="17"/>
      <c r="DJ472" s="17"/>
      <c r="DK472" s="17"/>
      <c r="DL472" s="17"/>
      <c r="DM472" s="17"/>
      <c r="DN472" s="17"/>
      <c r="DO472" s="17"/>
      <c r="DP472" s="17"/>
      <c r="DQ472" s="17"/>
      <c r="DR472" s="17"/>
      <c r="DS472" s="17"/>
      <c r="DT472" s="17"/>
      <c r="DU472" s="17"/>
      <c r="DV472" s="17"/>
      <c r="DW472" s="17"/>
      <c r="DX472" s="17"/>
      <c r="DY472" s="17"/>
      <c r="DZ472" s="17"/>
      <c r="EA472" s="17"/>
      <c r="EB472" s="17"/>
      <c r="EC472" s="17"/>
    </row>
    <row r="473" spans="1:133" x14ac:dyDescent="0.25">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7"/>
      <c r="BD473" s="17"/>
      <c r="BE473" s="17"/>
      <c r="BF473" s="17"/>
      <c r="BG473" s="17"/>
      <c r="BH473" s="17"/>
      <c r="BI473" s="17"/>
      <c r="BJ473" s="17"/>
      <c r="BK473" s="17"/>
      <c r="BL473" s="17"/>
      <c r="BM473" s="17"/>
      <c r="BN473" s="17"/>
      <c r="BO473" s="17"/>
      <c r="BP473" s="17"/>
      <c r="BQ473" s="17"/>
      <c r="BR473" s="17"/>
      <c r="BS473" s="17"/>
      <c r="BT473" s="17"/>
      <c r="BU473" s="17"/>
      <c r="BV473" s="17"/>
      <c r="BW473" s="17"/>
      <c r="BX473" s="17"/>
      <c r="BY473" s="17"/>
      <c r="BZ473" s="17"/>
      <c r="CA473" s="17"/>
      <c r="CB473" s="17"/>
      <c r="CC473" s="17"/>
      <c r="CD473" s="17"/>
      <c r="CE473" s="17"/>
      <c r="CF473" s="17"/>
      <c r="CG473" s="17"/>
      <c r="CH473" s="17"/>
      <c r="CI473" s="17"/>
      <c r="CJ473" s="17"/>
      <c r="CK473" s="17"/>
      <c r="CL473" s="17"/>
      <c r="CM473" s="17"/>
      <c r="CN473" s="17"/>
      <c r="CO473" s="17"/>
      <c r="CP473" s="17"/>
      <c r="CQ473" s="17"/>
      <c r="CR473" s="17"/>
      <c r="CS473" s="17"/>
      <c r="CT473" s="17"/>
      <c r="CU473" s="17"/>
      <c r="CV473" s="17"/>
      <c r="CW473" s="17"/>
      <c r="CX473" s="17"/>
      <c r="CY473" s="17"/>
      <c r="CZ473" s="17"/>
      <c r="DA473" s="17"/>
      <c r="DB473" s="17"/>
      <c r="DC473" s="17"/>
      <c r="DD473" s="17"/>
      <c r="DE473" s="17"/>
      <c r="DF473" s="17"/>
      <c r="DG473" s="17"/>
      <c r="DH473" s="17"/>
      <c r="DI473" s="17"/>
      <c r="DJ473" s="17"/>
      <c r="DK473" s="17"/>
      <c r="DL473" s="17"/>
      <c r="DM473" s="17"/>
      <c r="DN473" s="17"/>
      <c r="DO473" s="17"/>
      <c r="DP473" s="17"/>
      <c r="DQ473" s="17"/>
      <c r="DR473" s="17"/>
      <c r="DS473" s="17"/>
      <c r="DT473" s="17"/>
      <c r="DU473" s="17"/>
      <c r="DV473" s="17"/>
      <c r="DW473" s="17"/>
      <c r="DX473" s="17"/>
      <c r="DY473" s="17"/>
      <c r="DZ473" s="17"/>
      <c r="EA473" s="17"/>
      <c r="EB473" s="17"/>
      <c r="EC473" s="17"/>
    </row>
    <row r="474" spans="1:133" x14ac:dyDescent="0.25">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7"/>
      <c r="BD474" s="17"/>
      <c r="BE474" s="17"/>
      <c r="BF474" s="17"/>
      <c r="BG474" s="17"/>
      <c r="BH474" s="17"/>
      <c r="BI474" s="17"/>
      <c r="BJ474" s="17"/>
      <c r="BK474" s="17"/>
      <c r="BL474" s="17"/>
      <c r="BM474" s="17"/>
      <c r="BN474" s="17"/>
      <c r="BO474" s="17"/>
      <c r="BP474" s="17"/>
      <c r="BQ474" s="17"/>
      <c r="BR474" s="17"/>
      <c r="BS474" s="17"/>
      <c r="BT474" s="17"/>
      <c r="BU474" s="17"/>
      <c r="BV474" s="17"/>
      <c r="BW474" s="17"/>
      <c r="BX474" s="17"/>
      <c r="BY474" s="17"/>
      <c r="BZ474" s="17"/>
      <c r="CA474" s="17"/>
      <c r="CB474" s="17"/>
      <c r="CC474" s="17"/>
      <c r="CD474" s="17"/>
      <c r="CE474" s="17"/>
      <c r="CF474" s="17"/>
      <c r="CG474" s="17"/>
      <c r="CH474" s="17"/>
      <c r="CI474" s="17"/>
      <c r="CJ474" s="17"/>
      <c r="CK474" s="17"/>
      <c r="CL474" s="17"/>
      <c r="CM474" s="17"/>
      <c r="CN474" s="17"/>
      <c r="CO474" s="17"/>
      <c r="CP474" s="17"/>
      <c r="CQ474" s="17"/>
      <c r="CR474" s="17"/>
      <c r="CS474" s="17"/>
      <c r="CT474" s="17"/>
      <c r="CU474" s="17"/>
      <c r="CV474" s="17"/>
      <c r="CW474" s="17"/>
      <c r="CX474" s="17"/>
      <c r="CY474" s="17"/>
      <c r="CZ474" s="17"/>
      <c r="DA474" s="17"/>
      <c r="DB474" s="17"/>
      <c r="DC474" s="17"/>
      <c r="DD474" s="17"/>
      <c r="DE474" s="17"/>
      <c r="DF474" s="17"/>
      <c r="DG474" s="17"/>
      <c r="DH474" s="17"/>
      <c r="DI474" s="17"/>
      <c r="DJ474" s="17"/>
      <c r="DK474" s="17"/>
      <c r="DL474" s="17"/>
      <c r="DM474" s="17"/>
      <c r="DN474" s="17"/>
      <c r="DO474" s="17"/>
      <c r="DP474" s="17"/>
      <c r="DQ474" s="17"/>
      <c r="DR474" s="17"/>
      <c r="DS474" s="17"/>
      <c r="DT474" s="17"/>
      <c r="DU474" s="17"/>
      <c r="DV474" s="17"/>
      <c r="DW474" s="17"/>
      <c r="DX474" s="17"/>
      <c r="DY474" s="17"/>
      <c r="DZ474" s="17"/>
      <c r="EA474" s="17"/>
      <c r="EB474" s="17"/>
      <c r="EC474" s="17"/>
    </row>
    <row r="475" spans="1:133" x14ac:dyDescent="0.2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7"/>
      <c r="BD475" s="17"/>
      <c r="BE475" s="17"/>
      <c r="BF475" s="17"/>
      <c r="BG475" s="17"/>
      <c r="BH475" s="17"/>
      <c r="BI475" s="17"/>
      <c r="BJ475" s="17"/>
      <c r="BK475" s="17"/>
      <c r="BL475" s="17"/>
      <c r="BM475" s="17"/>
      <c r="BN475" s="17"/>
      <c r="BO475" s="17"/>
      <c r="BP475" s="17"/>
      <c r="BQ475" s="17"/>
      <c r="BR475" s="17"/>
      <c r="BS475" s="17"/>
      <c r="BT475" s="17"/>
      <c r="BU475" s="17"/>
      <c r="BV475" s="17"/>
      <c r="BW475" s="17"/>
      <c r="BX475" s="17"/>
      <c r="BY475" s="17"/>
      <c r="BZ475" s="17"/>
      <c r="CA475" s="17"/>
      <c r="CB475" s="17"/>
      <c r="CC475" s="17"/>
      <c r="CD475" s="17"/>
      <c r="CE475" s="17"/>
      <c r="CF475" s="17"/>
      <c r="CG475" s="17"/>
      <c r="CH475" s="17"/>
      <c r="CI475" s="17"/>
      <c r="CJ475" s="17"/>
      <c r="CK475" s="17"/>
      <c r="CL475" s="17"/>
      <c r="CM475" s="17"/>
      <c r="CN475" s="17"/>
      <c r="CO475" s="17"/>
      <c r="CP475" s="17"/>
      <c r="CQ475" s="17"/>
      <c r="CR475" s="17"/>
      <c r="CS475" s="17"/>
      <c r="CT475" s="17"/>
      <c r="CU475" s="17"/>
      <c r="CV475" s="17"/>
      <c r="CW475" s="17"/>
      <c r="CX475" s="17"/>
      <c r="CY475" s="17"/>
      <c r="CZ475" s="17"/>
      <c r="DA475" s="17"/>
      <c r="DB475" s="17"/>
      <c r="DC475" s="17"/>
      <c r="DD475" s="17"/>
      <c r="DE475" s="17"/>
      <c r="DF475" s="17"/>
      <c r="DG475" s="17"/>
      <c r="DH475" s="17"/>
      <c r="DI475" s="17"/>
      <c r="DJ475" s="17"/>
      <c r="DK475" s="17"/>
      <c r="DL475" s="17"/>
      <c r="DM475" s="17"/>
      <c r="DN475" s="17"/>
      <c r="DO475" s="17"/>
      <c r="DP475" s="17"/>
      <c r="DQ475" s="17"/>
      <c r="DR475" s="17"/>
      <c r="DS475" s="17"/>
      <c r="DT475" s="17"/>
      <c r="DU475" s="17"/>
      <c r="DV475" s="17"/>
      <c r="DW475" s="17"/>
      <c r="DX475" s="17"/>
      <c r="DY475" s="17"/>
      <c r="DZ475" s="17"/>
      <c r="EA475" s="17"/>
      <c r="EB475" s="17"/>
      <c r="EC475" s="17"/>
    </row>
    <row r="476" spans="1:133" x14ac:dyDescent="0.25">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c r="BF476" s="17"/>
      <c r="BG476" s="17"/>
      <c r="BH476" s="17"/>
      <c r="BI476" s="17"/>
      <c r="BJ476" s="17"/>
      <c r="BK476" s="17"/>
      <c r="BL476" s="17"/>
      <c r="BM476" s="17"/>
      <c r="BN476" s="17"/>
      <c r="BO476" s="17"/>
      <c r="BP476" s="17"/>
      <c r="BQ476" s="17"/>
      <c r="BR476" s="17"/>
      <c r="BS476" s="17"/>
      <c r="BT476" s="17"/>
      <c r="BU476" s="17"/>
      <c r="BV476" s="17"/>
      <c r="BW476" s="17"/>
      <c r="BX476" s="17"/>
      <c r="BY476" s="17"/>
      <c r="BZ476" s="17"/>
      <c r="CA476" s="17"/>
      <c r="CB476" s="17"/>
      <c r="CC476" s="17"/>
      <c r="CD476" s="17"/>
      <c r="CE476" s="17"/>
      <c r="CF476" s="17"/>
      <c r="CG476" s="17"/>
      <c r="CH476" s="17"/>
      <c r="CI476" s="17"/>
      <c r="CJ476" s="17"/>
      <c r="CK476" s="17"/>
      <c r="CL476" s="17"/>
      <c r="CM476" s="17"/>
      <c r="CN476" s="17"/>
      <c r="CO476" s="17"/>
      <c r="CP476" s="17"/>
      <c r="CQ476" s="17"/>
      <c r="CR476" s="17"/>
      <c r="CS476" s="17"/>
      <c r="CT476" s="17"/>
      <c r="CU476" s="17"/>
      <c r="CV476" s="17"/>
      <c r="CW476" s="17"/>
      <c r="CX476" s="17"/>
      <c r="CY476" s="17"/>
      <c r="CZ476" s="17"/>
      <c r="DA476" s="17"/>
      <c r="DB476" s="17"/>
      <c r="DC476" s="17"/>
      <c r="DD476" s="17"/>
      <c r="DE476" s="17"/>
      <c r="DF476" s="17"/>
      <c r="DG476" s="17"/>
      <c r="DH476" s="17"/>
      <c r="DI476" s="17"/>
      <c r="DJ476" s="17"/>
      <c r="DK476" s="17"/>
      <c r="DL476" s="17"/>
      <c r="DM476" s="17"/>
      <c r="DN476" s="17"/>
      <c r="DO476" s="17"/>
      <c r="DP476" s="17"/>
      <c r="DQ476" s="17"/>
      <c r="DR476" s="17"/>
      <c r="DS476" s="17"/>
      <c r="DT476" s="17"/>
      <c r="DU476" s="17"/>
      <c r="DV476" s="17"/>
      <c r="DW476" s="17"/>
      <c r="DX476" s="17"/>
      <c r="DY476" s="17"/>
      <c r="DZ476" s="17"/>
      <c r="EA476" s="17"/>
      <c r="EB476" s="17"/>
      <c r="EC476" s="17"/>
    </row>
    <row r="477" spans="1:133" x14ac:dyDescent="0.25">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c r="BC477" s="17"/>
      <c r="BD477" s="17"/>
      <c r="BE477" s="17"/>
      <c r="BF477" s="17"/>
      <c r="BG477" s="17"/>
      <c r="BH477" s="17"/>
      <c r="BI477" s="17"/>
      <c r="BJ477" s="17"/>
      <c r="BK477" s="17"/>
      <c r="BL477" s="17"/>
      <c r="BM477" s="17"/>
      <c r="BN477" s="17"/>
      <c r="BO477" s="17"/>
      <c r="BP477" s="17"/>
      <c r="BQ477" s="17"/>
      <c r="BR477" s="17"/>
      <c r="BS477" s="17"/>
      <c r="BT477" s="17"/>
      <c r="BU477" s="17"/>
      <c r="BV477" s="17"/>
      <c r="BW477" s="17"/>
      <c r="BX477" s="17"/>
      <c r="BY477" s="17"/>
      <c r="BZ477" s="17"/>
      <c r="CA477" s="17"/>
      <c r="CB477" s="17"/>
      <c r="CC477" s="17"/>
      <c r="CD477" s="17"/>
      <c r="CE477" s="17"/>
      <c r="CF477" s="17"/>
      <c r="CG477" s="17"/>
      <c r="CH477" s="17"/>
      <c r="CI477" s="17"/>
      <c r="CJ477" s="17"/>
      <c r="CK477" s="17"/>
      <c r="CL477" s="17"/>
      <c r="CM477" s="17"/>
      <c r="CN477" s="17"/>
      <c r="CO477" s="17"/>
      <c r="CP477" s="17"/>
      <c r="CQ477" s="17"/>
      <c r="CR477" s="17"/>
      <c r="CS477" s="17"/>
      <c r="CT477" s="17"/>
      <c r="CU477" s="17"/>
      <c r="CV477" s="17"/>
      <c r="CW477" s="17"/>
      <c r="CX477" s="17"/>
      <c r="CY477" s="17"/>
      <c r="CZ477" s="17"/>
      <c r="DA477" s="17"/>
      <c r="DB477" s="17"/>
      <c r="DC477" s="17"/>
      <c r="DD477" s="17"/>
      <c r="DE477" s="17"/>
      <c r="DF477" s="17"/>
      <c r="DG477" s="17"/>
      <c r="DH477" s="17"/>
      <c r="DI477" s="17"/>
      <c r="DJ477" s="17"/>
      <c r="DK477" s="17"/>
      <c r="DL477" s="17"/>
      <c r="DM477" s="17"/>
      <c r="DN477" s="17"/>
      <c r="DO477" s="17"/>
      <c r="DP477" s="17"/>
      <c r="DQ477" s="17"/>
      <c r="DR477" s="17"/>
      <c r="DS477" s="17"/>
      <c r="DT477" s="17"/>
      <c r="DU477" s="17"/>
      <c r="DV477" s="17"/>
      <c r="DW477" s="17"/>
      <c r="DX477" s="17"/>
      <c r="DY477" s="17"/>
      <c r="DZ477" s="17"/>
      <c r="EA477" s="17"/>
      <c r="EB477" s="17"/>
      <c r="EC477" s="17"/>
    </row>
    <row r="478" spans="1:133" x14ac:dyDescent="0.25">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7"/>
      <c r="BD478" s="17"/>
      <c r="BE478" s="17"/>
      <c r="BF478" s="17"/>
      <c r="BG478" s="17"/>
      <c r="BH478" s="17"/>
      <c r="BI478" s="17"/>
      <c r="BJ478" s="17"/>
      <c r="BK478" s="17"/>
      <c r="BL478" s="17"/>
      <c r="BM478" s="17"/>
      <c r="BN478" s="17"/>
      <c r="BO478" s="17"/>
      <c r="BP478" s="17"/>
      <c r="BQ478" s="17"/>
      <c r="BR478" s="17"/>
      <c r="BS478" s="17"/>
      <c r="BT478" s="17"/>
      <c r="BU478" s="17"/>
      <c r="BV478" s="17"/>
      <c r="BW478" s="17"/>
      <c r="BX478" s="17"/>
      <c r="BY478" s="17"/>
      <c r="BZ478" s="17"/>
      <c r="CA478" s="17"/>
      <c r="CB478" s="17"/>
      <c r="CC478" s="17"/>
      <c r="CD478" s="17"/>
      <c r="CE478" s="17"/>
      <c r="CF478" s="17"/>
      <c r="CG478" s="17"/>
      <c r="CH478" s="17"/>
      <c r="CI478" s="17"/>
      <c r="CJ478" s="17"/>
      <c r="CK478" s="17"/>
      <c r="CL478" s="17"/>
      <c r="CM478" s="17"/>
      <c r="CN478" s="17"/>
      <c r="CO478" s="17"/>
      <c r="CP478" s="17"/>
      <c r="CQ478" s="17"/>
      <c r="CR478" s="17"/>
      <c r="CS478" s="17"/>
      <c r="CT478" s="17"/>
      <c r="CU478" s="17"/>
      <c r="CV478" s="17"/>
      <c r="CW478" s="17"/>
      <c r="CX478" s="17"/>
      <c r="CY478" s="17"/>
      <c r="CZ478" s="17"/>
      <c r="DA478" s="17"/>
      <c r="DB478" s="17"/>
      <c r="DC478" s="17"/>
      <c r="DD478" s="17"/>
      <c r="DE478" s="17"/>
      <c r="DF478" s="17"/>
      <c r="DG478" s="17"/>
      <c r="DH478" s="17"/>
      <c r="DI478" s="17"/>
      <c r="DJ478" s="17"/>
      <c r="DK478" s="17"/>
      <c r="DL478" s="17"/>
      <c r="DM478" s="17"/>
      <c r="DN478" s="17"/>
      <c r="DO478" s="17"/>
      <c r="DP478" s="17"/>
      <c r="DQ478" s="17"/>
      <c r="DR478" s="17"/>
      <c r="DS478" s="17"/>
      <c r="DT478" s="17"/>
      <c r="DU478" s="17"/>
      <c r="DV478" s="17"/>
      <c r="DW478" s="17"/>
      <c r="DX478" s="17"/>
      <c r="DY478" s="17"/>
      <c r="DZ478" s="17"/>
      <c r="EA478" s="17"/>
      <c r="EB478" s="17"/>
      <c r="EC478" s="17"/>
    </row>
    <row r="479" spans="1:133" x14ac:dyDescent="0.25">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c r="BC479" s="17"/>
      <c r="BD479" s="17"/>
      <c r="BE479" s="17"/>
      <c r="BF479" s="17"/>
      <c r="BG479" s="17"/>
      <c r="BH479" s="17"/>
      <c r="BI479" s="17"/>
      <c r="BJ479" s="17"/>
      <c r="BK479" s="17"/>
      <c r="BL479" s="17"/>
      <c r="BM479" s="17"/>
      <c r="BN479" s="17"/>
      <c r="BO479" s="17"/>
      <c r="BP479" s="17"/>
      <c r="BQ479" s="17"/>
      <c r="BR479" s="17"/>
      <c r="BS479" s="17"/>
      <c r="BT479" s="17"/>
      <c r="BU479" s="17"/>
      <c r="BV479" s="17"/>
      <c r="BW479" s="17"/>
      <c r="BX479" s="17"/>
      <c r="BY479" s="17"/>
      <c r="BZ479" s="17"/>
      <c r="CA479" s="17"/>
      <c r="CB479" s="17"/>
      <c r="CC479" s="17"/>
      <c r="CD479" s="17"/>
      <c r="CE479" s="17"/>
      <c r="CF479" s="17"/>
      <c r="CG479" s="17"/>
      <c r="CH479" s="17"/>
      <c r="CI479" s="17"/>
      <c r="CJ479" s="17"/>
      <c r="CK479" s="17"/>
      <c r="CL479" s="17"/>
      <c r="CM479" s="17"/>
      <c r="CN479" s="17"/>
      <c r="CO479" s="17"/>
      <c r="CP479" s="17"/>
      <c r="CQ479" s="17"/>
      <c r="CR479" s="17"/>
      <c r="CS479" s="17"/>
      <c r="CT479" s="17"/>
      <c r="CU479" s="17"/>
      <c r="CV479" s="17"/>
      <c r="CW479" s="17"/>
      <c r="CX479" s="17"/>
      <c r="CY479" s="17"/>
      <c r="CZ479" s="17"/>
      <c r="DA479" s="17"/>
      <c r="DB479" s="17"/>
      <c r="DC479" s="17"/>
      <c r="DD479" s="17"/>
      <c r="DE479" s="17"/>
      <c r="DF479" s="17"/>
      <c r="DG479" s="17"/>
      <c r="DH479" s="17"/>
      <c r="DI479" s="17"/>
      <c r="DJ479" s="17"/>
      <c r="DK479" s="17"/>
      <c r="DL479" s="17"/>
      <c r="DM479" s="17"/>
      <c r="DN479" s="17"/>
      <c r="DO479" s="17"/>
      <c r="DP479" s="17"/>
      <c r="DQ479" s="17"/>
      <c r="DR479" s="17"/>
      <c r="DS479" s="17"/>
      <c r="DT479" s="17"/>
      <c r="DU479" s="17"/>
      <c r="DV479" s="17"/>
      <c r="DW479" s="17"/>
      <c r="DX479" s="17"/>
      <c r="DY479" s="17"/>
      <c r="DZ479" s="17"/>
      <c r="EA479" s="17"/>
      <c r="EB479" s="17"/>
      <c r="EC479" s="17"/>
    </row>
    <row r="480" spans="1:133" x14ac:dyDescent="0.25">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c r="BC480" s="17"/>
      <c r="BD480" s="17"/>
      <c r="BE480" s="17"/>
      <c r="BF480" s="17"/>
      <c r="BG480" s="17"/>
      <c r="BH480" s="17"/>
      <c r="BI480" s="17"/>
      <c r="BJ480" s="17"/>
      <c r="BK480" s="17"/>
      <c r="BL480" s="17"/>
      <c r="BM480" s="17"/>
      <c r="BN480" s="17"/>
      <c r="BO480" s="17"/>
      <c r="BP480" s="17"/>
      <c r="BQ480" s="17"/>
      <c r="BR480" s="17"/>
      <c r="BS480" s="17"/>
      <c r="BT480" s="17"/>
      <c r="BU480" s="17"/>
      <c r="BV480" s="17"/>
      <c r="BW480" s="17"/>
      <c r="BX480" s="17"/>
      <c r="BY480" s="17"/>
      <c r="BZ480" s="17"/>
      <c r="CA480" s="17"/>
      <c r="CB480" s="17"/>
      <c r="CC480" s="17"/>
      <c r="CD480" s="17"/>
      <c r="CE480" s="17"/>
      <c r="CF480" s="17"/>
      <c r="CG480" s="17"/>
      <c r="CH480" s="17"/>
      <c r="CI480" s="17"/>
      <c r="CJ480" s="17"/>
      <c r="CK480" s="17"/>
      <c r="CL480" s="17"/>
      <c r="CM480" s="17"/>
      <c r="CN480" s="17"/>
      <c r="CO480" s="17"/>
      <c r="CP480" s="17"/>
      <c r="CQ480" s="17"/>
      <c r="CR480" s="17"/>
      <c r="CS480" s="17"/>
      <c r="CT480" s="17"/>
      <c r="CU480" s="17"/>
      <c r="CV480" s="17"/>
      <c r="CW480" s="17"/>
      <c r="CX480" s="17"/>
      <c r="CY480" s="17"/>
      <c r="CZ480" s="17"/>
      <c r="DA480" s="17"/>
      <c r="DB480" s="17"/>
      <c r="DC480" s="17"/>
      <c r="DD480" s="17"/>
      <c r="DE480" s="17"/>
      <c r="DF480" s="17"/>
      <c r="DG480" s="17"/>
      <c r="DH480" s="17"/>
      <c r="DI480" s="17"/>
      <c r="DJ480" s="17"/>
      <c r="DK480" s="17"/>
      <c r="DL480" s="17"/>
      <c r="DM480" s="17"/>
      <c r="DN480" s="17"/>
      <c r="DO480" s="17"/>
      <c r="DP480" s="17"/>
      <c r="DQ480" s="17"/>
      <c r="DR480" s="17"/>
      <c r="DS480" s="17"/>
      <c r="DT480" s="17"/>
      <c r="DU480" s="17"/>
      <c r="DV480" s="17"/>
      <c r="DW480" s="17"/>
      <c r="DX480" s="17"/>
      <c r="DY480" s="17"/>
      <c r="DZ480" s="17"/>
      <c r="EA480" s="17"/>
      <c r="EB480" s="17"/>
      <c r="EC480" s="17"/>
    </row>
    <row r="481" spans="1:133" x14ac:dyDescent="0.25">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c r="BC481" s="17"/>
      <c r="BD481" s="17"/>
      <c r="BE481" s="17"/>
      <c r="BF481" s="17"/>
      <c r="BG481" s="17"/>
      <c r="BH481" s="17"/>
      <c r="BI481" s="17"/>
      <c r="BJ481" s="17"/>
      <c r="BK481" s="17"/>
      <c r="BL481" s="17"/>
      <c r="BM481" s="17"/>
      <c r="BN481" s="17"/>
      <c r="BO481" s="17"/>
      <c r="BP481" s="17"/>
      <c r="BQ481" s="17"/>
      <c r="BR481" s="17"/>
      <c r="BS481" s="17"/>
      <c r="BT481" s="17"/>
      <c r="BU481" s="17"/>
      <c r="BV481" s="17"/>
      <c r="BW481" s="17"/>
      <c r="BX481" s="17"/>
      <c r="BY481" s="17"/>
      <c r="BZ481" s="17"/>
      <c r="CA481" s="17"/>
      <c r="CB481" s="17"/>
      <c r="CC481" s="17"/>
      <c r="CD481" s="17"/>
      <c r="CE481" s="17"/>
      <c r="CF481" s="17"/>
      <c r="CG481" s="17"/>
      <c r="CH481" s="17"/>
      <c r="CI481" s="17"/>
      <c r="CJ481" s="17"/>
      <c r="CK481" s="17"/>
      <c r="CL481" s="17"/>
      <c r="CM481" s="17"/>
      <c r="CN481" s="17"/>
      <c r="CO481" s="17"/>
      <c r="CP481" s="17"/>
      <c r="CQ481" s="17"/>
      <c r="CR481" s="17"/>
      <c r="CS481" s="17"/>
      <c r="CT481" s="17"/>
      <c r="CU481" s="17"/>
      <c r="CV481" s="17"/>
      <c r="CW481" s="17"/>
      <c r="CX481" s="17"/>
      <c r="CY481" s="17"/>
      <c r="CZ481" s="17"/>
      <c r="DA481" s="17"/>
      <c r="DB481" s="17"/>
      <c r="DC481" s="17"/>
      <c r="DD481" s="17"/>
      <c r="DE481" s="17"/>
      <c r="DF481" s="17"/>
      <c r="DG481" s="17"/>
      <c r="DH481" s="17"/>
      <c r="DI481" s="17"/>
      <c r="DJ481" s="17"/>
      <c r="DK481" s="17"/>
      <c r="DL481" s="17"/>
      <c r="DM481" s="17"/>
      <c r="DN481" s="17"/>
      <c r="DO481" s="17"/>
      <c r="DP481" s="17"/>
      <c r="DQ481" s="17"/>
      <c r="DR481" s="17"/>
      <c r="DS481" s="17"/>
      <c r="DT481" s="17"/>
      <c r="DU481" s="17"/>
      <c r="DV481" s="17"/>
      <c r="DW481" s="17"/>
      <c r="DX481" s="17"/>
      <c r="DY481" s="17"/>
      <c r="DZ481" s="17"/>
      <c r="EA481" s="17"/>
      <c r="EB481" s="17"/>
      <c r="EC481" s="17"/>
    </row>
    <row r="482" spans="1:133" x14ac:dyDescent="0.25">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c r="BC482" s="17"/>
      <c r="BD482" s="17"/>
      <c r="BE482" s="17"/>
      <c r="BF482" s="17"/>
      <c r="BG482" s="17"/>
      <c r="BH482" s="17"/>
      <c r="BI482" s="17"/>
      <c r="BJ482" s="17"/>
      <c r="BK482" s="17"/>
      <c r="BL482" s="17"/>
      <c r="BM482" s="17"/>
      <c r="BN482" s="17"/>
      <c r="BO482" s="17"/>
      <c r="BP482" s="17"/>
      <c r="BQ482" s="17"/>
      <c r="BR482" s="17"/>
      <c r="BS482" s="17"/>
      <c r="BT482" s="17"/>
      <c r="BU482" s="17"/>
      <c r="BV482" s="17"/>
      <c r="BW482" s="17"/>
      <c r="BX482" s="17"/>
      <c r="BY482" s="17"/>
      <c r="BZ482" s="17"/>
      <c r="CA482" s="17"/>
      <c r="CB482" s="17"/>
      <c r="CC482" s="17"/>
      <c r="CD482" s="17"/>
      <c r="CE482" s="17"/>
      <c r="CF482" s="17"/>
      <c r="CG482" s="17"/>
      <c r="CH482" s="17"/>
      <c r="CI482" s="17"/>
      <c r="CJ482" s="17"/>
      <c r="CK482" s="17"/>
      <c r="CL482" s="17"/>
      <c r="CM482" s="17"/>
      <c r="CN482" s="17"/>
      <c r="CO482" s="17"/>
      <c r="CP482" s="17"/>
      <c r="CQ482" s="17"/>
      <c r="CR482" s="17"/>
      <c r="CS482" s="17"/>
      <c r="CT482" s="17"/>
      <c r="CU482" s="17"/>
      <c r="CV482" s="17"/>
      <c r="CW482" s="17"/>
      <c r="CX482" s="17"/>
      <c r="CY482" s="17"/>
      <c r="CZ482" s="17"/>
      <c r="DA482" s="17"/>
      <c r="DB482" s="17"/>
      <c r="DC482" s="17"/>
      <c r="DD482" s="17"/>
      <c r="DE482" s="17"/>
      <c r="DF482" s="17"/>
      <c r="DG482" s="17"/>
      <c r="DH482" s="17"/>
      <c r="DI482" s="17"/>
      <c r="DJ482" s="17"/>
      <c r="DK482" s="17"/>
      <c r="DL482" s="17"/>
      <c r="DM482" s="17"/>
      <c r="DN482" s="17"/>
      <c r="DO482" s="17"/>
      <c r="DP482" s="17"/>
      <c r="DQ482" s="17"/>
      <c r="DR482" s="17"/>
      <c r="DS482" s="17"/>
      <c r="DT482" s="17"/>
      <c r="DU482" s="17"/>
      <c r="DV482" s="17"/>
      <c r="DW482" s="17"/>
      <c r="DX482" s="17"/>
      <c r="DY482" s="17"/>
      <c r="DZ482" s="17"/>
      <c r="EA482" s="17"/>
      <c r="EB482" s="17"/>
      <c r="EC482" s="17"/>
    </row>
    <row r="483" spans="1:133" x14ac:dyDescent="0.25">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c r="BC483" s="17"/>
      <c r="BD483" s="17"/>
      <c r="BE483" s="17"/>
      <c r="BF483" s="17"/>
      <c r="BG483" s="17"/>
      <c r="BH483" s="17"/>
      <c r="BI483" s="17"/>
      <c r="BJ483" s="17"/>
      <c r="BK483" s="17"/>
      <c r="BL483" s="17"/>
      <c r="BM483" s="17"/>
      <c r="BN483" s="17"/>
      <c r="BO483" s="17"/>
      <c r="BP483" s="17"/>
      <c r="BQ483" s="17"/>
      <c r="BR483" s="17"/>
      <c r="BS483" s="17"/>
      <c r="BT483" s="17"/>
      <c r="BU483" s="17"/>
      <c r="BV483" s="17"/>
      <c r="BW483" s="17"/>
      <c r="BX483" s="17"/>
      <c r="BY483" s="17"/>
      <c r="BZ483" s="17"/>
      <c r="CA483" s="17"/>
      <c r="CB483" s="17"/>
      <c r="CC483" s="17"/>
      <c r="CD483" s="17"/>
      <c r="CE483" s="17"/>
      <c r="CF483" s="17"/>
      <c r="CG483" s="17"/>
      <c r="CH483" s="17"/>
      <c r="CI483" s="17"/>
      <c r="CJ483" s="17"/>
      <c r="CK483" s="17"/>
      <c r="CL483" s="17"/>
      <c r="CM483" s="17"/>
      <c r="CN483" s="17"/>
      <c r="CO483" s="17"/>
      <c r="CP483" s="17"/>
      <c r="CQ483" s="17"/>
      <c r="CR483" s="17"/>
      <c r="CS483" s="17"/>
      <c r="CT483" s="17"/>
      <c r="CU483" s="17"/>
      <c r="CV483" s="17"/>
      <c r="CW483" s="17"/>
      <c r="CX483" s="17"/>
      <c r="CY483" s="17"/>
      <c r="CZ483" s="17"/>
      <c r="DA483" s="17"/>
      <c r="DB483" s="17"/>
      <c r="DC483" s="17"/>
      <c r="DD483" s="17"/>
      <c r="DE483" s="17"/>
      <c r="DF483" s="17"/>
      <c r="DG483" s="17"/>
      <c r="DH483" s="17"/>
      <c r="DI483" s="17"/>
      <c r="DJ483" s="17"/>
      <c r="DK483" s="17"/>
      <c r="DL483" s="17"/>
      <c r="DM483" s="17"/>
      <c r="DN483" s="17"/>
      <c r="DO483" s="17"/>
      <c r="DP483" s="17"/>
      <c r="DQ483" s="17"/>
      <c r="DR483" s="17"/>
      <c r="DS483" s="17"/>
      <c r="DT483" s="17"/>
      <c r="DU483" s="17"/>
      <c r="DV483" s="17"/>
      <c r="DW483" s="17"/>
      <c r="DX483" s="17"/>
      <c r="DY483" s="17"/>
      <c r="DZ483" s="17"/>
      <c r="EA483" s="17"/>
      <c r="EB483" s="17"/>
      <c r="EC483" s="17"/>
    </row>
    <row r="484" spans="1:133" x14ac:dyDescent="0.25">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c r="BB484" s="17"/>
      <c r="BC484" s="17"/>
      <c r="BD484" s="17"/>
      <c r="BE484" s="17"/>
      <c r="BF484" s="17"/>
      <c r="BG484" s="17"/>
      <c r="BH484" s="17"/>
      <c r="BI484" s="17"/>
      <c r="BJ484" s="17"/>
      <c r="BK484" s="17"/>
      <c r="BL484" s="17"/>
      <c r="BM484" s="17"/>
      <c r="BN484" s="17"/>
      <c r="BO484" s="17"/>
      <c r="BP484" s="17"/>
      <c r="BQ484" s="17"/>
      <c r="BR484" s="17"/>
      <c r="BS484" s="17"/>
      <c r="BT484" s="17"/>
      <c r="BU484" s="17"/>
      <c r="BV484" s="17"/>
      <c r="BW484" s="17"/>
      <c r="BX484" s="17"/>
      <c r="BY484" s="17"/>
      <c r="BZ484" s="17"/>
      <c r="CA484" s="17"/>
      <c r="CB484" s="17"/>
      <c r="CC484" s="17"/>
      <c r="CD484" s="17"/>
      <c r="CE484" s="17"/>
      <c r="CF484" s="17"/>
      <c r="CG484" s="17"/>
      <c r="CH484" s="17"/>
      <c r="CI484" s="17"/>
      <c r="CJ484" s="17"/>
      <c r="CK484" s="17"/>
      <c r="CL484" s="17"/>
      <c r="CM484" s="17"/>
      <c r="CN484" s="17"/>
      <c r="CO484" s="17"/>
      <c r="CP484" s="17"/>
      <c r="CQ484" s="17"/>
      <c r="CR484" s="17"/>
      <c r="CS484" s="17"/>
      <c r="CT484" s="17"/>
      <c r="CU484" s="17"/>
      <c r="CV484" s="17"/>
      <c r="CW484" s="17"/>
      <c r="CX484" s="17"/>
      <c r="CY484" s="17"/>
      <c r="CZ484" s="17"/>
      <c r="DA484" s="17"/>
      <c r="DB484" s="17"/>
      <c r="DC484" s="17"/>
      <c r="DD484" s="17"/>
      <c r="DE484" s="17"/>
      <c r="DF484" s="17"/>
      <c r="DG484" s="17"/>
      <c r="DH484" s="17"/>
      <c r="DI484" s="17"/>
      <c r="DJ484" s="17"/>
      <c r="DK484" s="17"/>
      <c r="DL484" s="17"/>
      <c r="DM484" s="17"/>
      <c r="DN484" s="17"/>
      <c r="DO484" s="17"/>
      <c r="DP484" s="17"/>
      <c r="DQ484" s="17"/>
      <c r="DR484" s="17"/>
      <c r="DS484" s="17"/>
      <c r="DT484" s="17"/>
      <c r="DU484" s="17"/>
      <c r="DV484" s="17"/>
      <c r="DW484" s="17"/>
      <c r="DX484" s="17"/>
      <c r="DY484" s="17"/>
      <c r="DZ484" s="17"/>
      <c r="EA484" s="17"/>
      <c r="EB484" s="17"/>
      <c r="EC484" s="17"/>
    </row>
    <row r="485" spans="1:133" x14ac:dyDescent="0.2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c r="BB485" s="17"/>
      <c r="BC485" s="17"/>
      <c r="BD485" s="17"/>
      <c r="BE485" s="17"/>
      <c r="BF485" s="17"/>
      <c r="BG485" s="17"/>
      <c r="BH485" s="17"/>
      <c r="BI485" s="17"/>
      <c r="BJ485" s="17"/>
      <c r="BK485" s="17"/>
      <c r="BL485" s="17"/>
      <c r="BM485" s="17"/>
      <c r="BN485" s="17"/>
      <c r="BO485" s="17"/>
      <c r="BP485" s="17"/>
      <c r="BQ485" s="17"/>
      <c r="BR485" s="17"/>
      <c r="BS485" s="17"/>
      <c r="BT485" s="17"/>
      <c r="BU485" s="17"/>
      <c r="BV485" s="17"/>
      <c r="BW485" s="17"/>
      <c r="BX485" s="17"/>
      <c r="BY485" s="17"/>
      <c r="BZ485" s="17"/>
      <c r="CA485" s="17"/>
      <c r="CB485" s="17"/>
      <c r="CC485" s="17"/>
      <c r="CD485" s="17"/>
      <c r="CE485" s="17"/>
      <c r="CF485" s="17"/>
      <c r="CG485" s="17"/>
      <c r="CH485" s="17"/>
      <c r="CI485" s="17"/>
      <c r="CJ485" s="17"/>
      <c r="CK485" s="17"/>
      <c r="CL485" s="17"/>
      <c r="CM485" s="17"/>
      <c r="CN485" s="17"/>
      <c r="CO485" s="17"/>
      <c r="CP485" s="17"/>
      <c r="CQ485" s="17"/>
      <c r="CR485" s="17"/>
      <c r="CS485" s="17"/>
      <c r="CT485" s="17"/>
      <c r="CU485" s="17"/>
      <c r="CV485" s="17"/>
      <c r="CW485" s="17"/>
      <c r="CX485" s="17"/>
      <c r="CY485" s="17"/>
      <c r="CZ485" s="17"/>
      <c r="DA485" s="17"/>
      <c r="DB485" s="17"/>
      <c r="DC485" s="17"/>
      <c r="DD485" s="17"/>
      <c r="DE485" s="17"/>
      <c r="DF485" s="17"/>
      <c r="DG485" s="17"/>
      <c r="DH485" s="17"/>
      <c r="DI485" s="17"/>
      <c r="DJ485" s="17"/>
      <c r="DK485" s="17"/>
      <c r="DL485" s="17"/>
      <c r="DM485" s="17"/>
      <c r="DN485" s="17"/>
      <c r="DO485" s="17"/>
      <c r="DP485" s="17"/>
      <c r="DQ485" s="17"/>
      <c r="DR485" s="17"/>
      <c r="DS485" s="17"/>
      <c r="DT485" s="17"/>
      <c r="DU485" s="17"/>
      <c r="DV485" s="17"/>
      <c r="DW485" s="17"/>
      <c r="DX485" s="17"/>
      <c r="DY485" s="17"/>
      <c r="DZ485" s="17"/>
      <c r="EA485" s="17"/>
      <c r="EB485" s="17"/>
      <c r="EC485" s="17"/>
    </row>
    <row r="486" spans="1:133" x14ac:dyDescent="0.25">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c r="BC486" s="17"/>
      <c r="BD486" s="17"/>
      <c r="BE486" s="17"/>
      <c r="BF486" s="17"/>
      <c r="BG486" s="17"/>
      <c r="BH486" s="17"/>
      <c r="BI486" s="17"/>
      <c r="BJ486" s="17"/>
      <c r="BK486" s="17"/>
      <c r="BL486" s="17"/>
      <c r="BM486" s="17"/>
      <c r="BN486" s="17"/>
      <c r="BO486" s="17"/>
      <c r="BP486" s="17"/>
      <c r="BQ486" s="17"/>
      <c r="BR486" s="17"/>
      <c r="BS486" s="17"/>
      <c r="BT486" s="17"/>
      <c r="BU486" s="17"/>
      <c r="BV486" s="17"/>
      <c r="BW486" s="17"/>
      <c r="BX486" s="17"/>
      <c r="BY486" s="17"/>
      <c r="BZ486" s="17"/>
      <c r="CA486" s="17"/>
      <c r="CB486" s="17"/>
      <c r="CC486" s="17"/>
      <c r="CD486" s="17"/>
      <c r="CE486" s="17"/>
      <c r="CF486" s="17"/>
      <c r="CG486" s="17"/>
      <c r="CH486" s="17"/>
      <c r="CI486" s="17"/>
      <c r="CJ486" s="17"/>
      <c r="CK486" s="17"/>
      <c r="CL486" s="17"/>
      <c r="CM486" s="17"/>
      <c r="CN486" s="17"/>
      <c r="CO486" s="17"/>
      <c r="CP486" s="17"/>
      <c r="CQ486" s="17"/>
      <c r="CR486" s="17"/>
      <c r="CS486" s="17"/>
      <c r="CT486" s="17"/>
      <c r="CU486" s="17"/>
      <c r="CV486" s="17"/>
      <c r="CW486" s="17"/>
      <c r="CX486" s="17"/>
      <c r="CY486" s="17"/>
      <c r="CZ486" s="17"/>
      <c r="DA486" s="17"/>
      <c r="DB486" s="17"/>
      <c r="DC486" s="17"/>
      <c r="DD486" s="17"/>
      <c r="DE486" s="17"/>
      <c r="DF486" s="17"/>
      <c r="DG486" s="17"/>
      <c r="DH486" s="17"/>
      <c r="DI486" s="17"/>
      <c r="DJ486" s="17"/>
      <c r="DK486" s="17"/>
      <c r="DL486" s="17"/>
      <c r="DM486" s="17"/>
      <c r="DN486" s="17"/>
      <c r="DO486" s="17"/>
      <c r="DP486" s="17"/>
      <c r="DQ486" s="17"/>
      <c r="DR486" s="17"/>
      <c r="DS486" s="17"/>
      <c r="DT486" s="17"/>
      <c r="DU486" s="17"/>
      <c r="DV486" s="17"/>
      <c r="DW486" s="17"/>
      <c r="DX486" s="17"/>
      <c r="DY486" s="17"/>
      <c r="DZ486" s="17"/>
      <c r="EA486" s="17"/>
      <c r="EB486" s="17"/>
      <c r="EC486" s="17"/>
    </row>
    <row r="487" spans="1:133" x14ac:dyDescent="0.25">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c r="BC487" s="17"/>
      <c r="BD487" s="17"/>
      <c r="BE487" s="17"/>
      <c r="BF487" s="17"/>
      <c r="BG487" s="17"/>
      <c r="BH487" s="17"/>
      <c r="BI487" s="17"/>
      <c r="BJ487" s="17"/>
      <c r="BK487" s="17"/>
      <c r="BL487" s="17"/>
      <c r="BM487" s="17"/>
      <c r="BN487" s="17"/>
      <c r="BO487" s="17"/>
      <c r="BP487" s="17"/>
      <c r="BQ487" s="17"/>
      <c r="BR487" s="17"/>
      <c r="BS487" s="17"/>
      <c r="BT487" s="17"/>
      <c r="BU487" s="17"/>
      <c r="BV487" s="17"/>
      <c r="BW487" s="17"/>
      <c r="BX487" s="17"/>
      <c r="BY487" s="17"/>
      <c r="BZ487" s="17"/>
      <c r="CA487" s="17"/>
      <c r="CB487" s="17"/>
      <c r="CC487" s="17"/>
      <c r="CD487" s="17"/>
      <c r="CE487" s="17"/>
      <c r="CF487" s="17"/>
      <c r="CG487" s="17"/>
      <c r="CH487" s="17"/>
      <c r="CI487" s="17"/>
      <c r="CJ487" s="17"/>
      <c r="CK487" s="17"/>
      <c r="CL487" s="17"/>
      <c r="CM487" s="17"/>
      <c r="CN487" s="17"/>
      <c r="CO487" s="17"/>
      <c r="CP487" s="17"/>
      <c r="CQ487" s="17"/>
      <c r="CR487" s="17"/>
      <c r="CS487" s="17"/>
      <c r="CT487" s="17"/>
      <c r="CU487" s="17"/>
      <c r="CV487" s="17"/>
      <c r="CW487" s="17"/>
      <c r="CX487" s="17"/>
      <c r="CY487" s="17"/>
      <c r="CZ487" s="17"/>
      <c r="DA487" s="17"/>
      <c r="DB487" s="17"/>
      <c r="DC487" s="17"/>
      <c r="DD487" s="17"/>
      <c r="DE487" s="17"/>
      <c r="DF487" s="17"/>
      <c r="DG487" s="17"/>
      <c r="DH487" s="17"/>
      <c r="DI487" s="17"/>
      <c r="DJ487" s="17"/>
      <c r="DK487" s="17"/>
      <c r="DL487" s="17"/>
      <c r="DM487" s="17"/>
      <c r="DN487" s="17"/>
      <c r="DO487" s="17"/>
      <c r="DP487" s="17"/>
      <c r="DQ487" s="17"/>
      <c r="DR487" s="17"/>
      <c r="DS487" s="17"/>
      <c r="DT487" s="17"/>
      <c r="DU487" s="17"/>
      <c r="DV487" s="17"/>
      <c r="DW487" s="17"/>
      <c r="DX487" s="17"/>
      <c r="DY487" s="17"/>
      <c r="DZ487" s="17"/>
      <c r="EA487" s="17"/>
      <c r="EB487" s="17"/>
      <c r="EC487" s="17"/>
    </row>
    <row r="488" spans="1:133" x14ac:dyDescent="0.25">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c r="BB488" s="17"/>
      <c r="BC488" s="17"/>
      <c r="BD488" s="17"/>
      <c r="BE488" s="17"/>
      <c r="BF488" s="17"/>
      <c r="BG488" s="17"/>
      <c r="BH488" s="17"/>
      <c r="BI488" s="17"/>
      <c r="BJ488" s="17"/>
      <c r="BK488" s="17"/>
      <c r="BL488" s="17"/>
      <c r="BM488" s="17"/>
      <c r="BN488" s="17"/>
      <c r="BO488" s="17"/>
      <c r="BP488" s="17"/>
      <c r="BQ488" s="17"/>
      <c r="BR488" s="17"/>
      <c r="BS488" s="17"/>
      <c r="BT488" s="17"/>
      <c r="BU488" s="17"/>
      <c r="BV488" s="17"/>
      <c r="BW488" s="17"/>
      <c r="BX488" s="17"/>
      <c r="BY488" s="17"/>
      <c r="BZ488" s="17"/>
      <c r="CA488" s="17"/>
      <c r="CB488" s="17"/>
      <c r="CC488" s="17"/>
      <c r="CD488" s="17"/>
      <c r="CE488" s="17"/>
      <c r="CF488" s="17"/>
      <c r="CG488" s="17"/>
      <c r="CH488" s="17"/>
      <c r="CI488" s="17"/>
      <c r="CJ488" s="17"/>
      <c r="CK488" s="17"/>
      <c r="CL488" s="17"/>
      <c r="CM488" s="17"/>
      <c r="CN488" s="17"/>
      <c r="CO488" s="17"/>
      <c r="CP488" s="17"/>
      <c r="CQ488" s="17"/>
      <c r="CR488" s="17"/>
      <c r="CS488" s="17"/>
      <c r="CT488" s="17"/>
      <c r="CU488" s="17"/>
      <c r="CV488" s="17"/>
      <c r="CW488" s="17"/>
      <c r="CX488" s="17"/>
      <c r="CY488" s="17"/>
      <c r="CZ488" s="17"/>
      <c r="DA488" s="17"/>
      <c r="DB488" s="17"/>
      <c r="DC488" s="17"/>
      <c r="DD488" s="17"/>
      <c r="DE488" s="17"/>
      <c r="DF488" s="17"/>
      <c r="DG488" s="17"/>
      <c r="DH488" s="17"/>
      <c r="DI488" s="17"/>
      <c r="DJ488" s="17"/>
      <c r="DK488" s="17"/>
      <c r="DL488" s="17"/>
      <c r="DM488" s="17"/>
      <c r="DN488" s="17"/>
      <c r="DO488" s="17"/>
      <c r="DP488" s="17"/>
      <c r="DQ488" s="17"/>
      <c r="DR488" s="17"/>
      <c r="DS488" s="17"/>
      <c r="DT488" s="17"/>
      <c r="DU488" s="17"/>
      <c r="DV488" s="17"/>
      <c r="DW488" s="17"/>
      <c r="DX488" s="17"/>
      <c r="DY488" s="17"/>
      <c r="DZ488" s="17"/>
      <c r="EA488" s="17"/>
      <c r="EB488" s="17"/>
      <c r="EC488" s="17"/>
    </row>
    <row r="489" spans="1:133" x14ac:dyDescent="0.25">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7"/>
      <c r="BD489" s="17"/>
      <c r="BE489" s="17"/>
      <c r="BF489" s="17"/>
      <c r="BG489" s="17"/>
      <c r="BH489" s="17"/>
      <c r="BI489" s="17"/>
      <c r="BJ489" s="17"/>
      <c r="BK489" s="17"/>
      <c r="BL489" s="17"/>
      <c r="BM489" s="17"/>
      <c r="BN489" s="17"/>
      <c r="BO489" s="17"/>
      <c r="BP489" s="17"/>
      <c r="BQ489" s="17"/>
      <c r="BR489" s="17"/>
      <c r="BS489" s="17"/>
      <c r="BT489" s="17"/>
      <c r="BU489" s="17"/>
      <c r="BV489" s="17"/>
      <c r="BW489" s="17"/>
      <c r="BX489" s="17"/>
      <c r="BY489" s="17"/>
      <c r="BZ489" s="17"/>
      <c r="CA489" s="17"/>
      <c r="CB489" s="17"/>
      <c r="CC489" s="17"/>
      <c r="CD489" s="17"/>
      <c r="CE489" s="17"/>
      <c r="CF489" s="17"/>
      <c r="CG489" s="17"/>
      <c r="CH489" s="17"/>
      <c r="CI489" s="17"/>
      <c r="CJ489" s="17"/>
      <c r="CK489" s="17"/>
      <c r="CL489" s="17"/>
      <c r="CM489" s="17"/>
      <c r="CN489" s="17"/>
      <c r="CO489" s="17"/>
      <c r="CP489" s="17"/>
      <c r="CQ489" s="17"/>
      <c r="CR489" s="17"/>
      <c r="CS489" s="17"/>
      <c r="CT489" s="17"/>
      <c r="CU489" s="17"/>
      <c r="CV489" s="17"/>
      <c r="CW489" s="17"/>
      <c r="CX489" s="17"/>
      <c r="CY489" s="17"/>
      <c r="CZ489" s="17"/>
      <c r="DA489" s="17"/>
      <c r="DB489" s="17"/>
      <c r="DC489" s="17"/>
      <c r="DD489" s="17"/>
      <c r="DE489" s="17"/>
      <c r="DF489" s="17"/>
      <c r="DG489" s="17"/>
      <c r="DH489" s="17"/>
      <c r="DI489" s="17"/>
      <c r="DJ489" s="17"/>
      <c r="DK489" s="17"/>
      <c r="DL489" s="17"/>
      <c r="DM489" s="17"/>
      <c r="DN489" s="17"/>
      <c r="DO489" s="17"/>
      <c r="DP489" s="17"/>
      <c r="DQ489" s="17"/>
      <c r="DR489" s="17"/>
      <c r="DS489" s="17"/>
      <c r="DT489" s="17"/>
      <c r="DU489" s="17"/>
      <c r="DV489" s="17"/>
      <c r="DW489" s="17"/>
      <c r="DX489" s="17"/>
      <c r="DY489" s="17"/>
      <c r="DZ489" s="17"/>
      <c r="EA489" s="17"/>
      <c r="EB489" s="17"/>
      <c r="EC489" s="17"/>
    </row>
    <row r="490" spans="1:133" x14ac:dyDescent="0.25">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c r="BC490" s="17"/>
      <c r="BD490" s="17"/>
      <c r="BE490" s="17"/>
      <c r="BF490" s="17"/>
      <c r="BG490" s="17"/>
      <c r="BH490" s="17"/>
      <c r="BI490" s="17"/>
      <c r="BJ490" s="17"/>
      <c r="BK490" s="17"/>
      <c r="BL490" s="17"/>
      <c r="BM490" s="17"/>
      <c r="BN490" s="17"/>
      <c r="BO490" s="17"/>
      <c r="BP490" s="17"/>
      <c r="BQ490" s="17"/>
      <c r="BR490" s="17"/>
      <c r="BS490" s="17"/>
      <c r="BT490" s="17"/>
      <c r="BU490" s="17"/>
      <c r="BV490" s="17"/>
      <c r="BW490" s="17"/>
      <c r="BX490" s="17"/>
      <c r="BY490" s="17"/>
      <c r="BZ490" s="17"/>
      <c r="CA490" s="17"/>
      <c r="CB490" s="17"/>
      <c r="CC490" s="17"/>
      <c r="CD490" s="17"/>
      <c r="CE490" s="17"/>
      <c r="CF490" s="17"/>
      <c r="CG490" s="17"/>
      <c r="CH490" s="17"/>
      <c r="CI490" s="17"/>
      <c r="CJ490" s="17"/>
      <c r="CK490" s="17"/>
      <c r="CL490" s="17"/>
      <c r="CM490" s="17"/>
      <c r="CN490" s="17"/>
      <c r="CO490" s="17"/>
      <c r="CP490" s="17"/>
      <c r="CQ490" s="17"/>
      <c r="CR490" s="17"/>
      <c r="CS490" s="17"/>
      <c r="CT490" s="17"/>
      <c r="CU490" s="17"/>
      <c r="CV490" s="17"/>
      <c r="CW490" s="17"/>
      <c r="CX490" s="17"/>
      <c r="CY490" s="17"/>
      <c r="CZ490" s="17"/>
      <c r="DA490" s="17"/>
      <c r="DB490" s="17"/>
      <c r="DC490" s="17"/>
      <c r="DD490" s="17"/>
      <c r="DE490" s="17"/>
      <c r="DF490" s="17"/>
      <c r="DG490" s="17"/>
      <c r="DH490" s="17"/>
      <c r="DI490" s="17"/>
      <c r="DJ490" s="17"/>
      <c r="DK490" s="17"/>
      <c r="DL490" s="17"/>
      <c r="DM490" s="17"/>
      <c r="DN490" s="17"/>
      <c r="DO490" s="17"/>
      <c r="DP490" s="17"/>
      <c r="DQ490" s="17"/>
      <c r="DR490" s="17"/>
      <c r="DS490" s="17"/>
      <c r="DT490" s="17"/>
      <c r="DU490" s="17"/>
      <c r="DV490" s="17"/>
      <c r="DW490" s="17"/>
      <c r="DX490" s="17"/>
      <c r="DY490" s="17"/>
      <c r="DZ490" s="17"/>
      <c r="EA490" s="17"/>
      <c r="EB490" s="17"/>
      <c r="EC490" s="17"/>
    </row>
    <row r="491" spans="1:133" x14ac:dyDescent="0.25">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c r="BC491" s="17"/>
      <c r="BD491" s="17"/>
      <c r="BE491" s="17"/>
      <c r="BF491" s="17"/>
      <c r="BG491" s="17"/>
      <c r="BH491" s="17"/>
      <c r="BI491" s="17"/>
      <c r="BJ491" s="17"/>
      <c r="BK491" s="17"/>
      <c r="BL491" s="17"/>
      <c r="BM491" s="17"/>
      <c r="BN491" s="17"/>
      <c r="BO491" s="17"/>
      <c r="BP491" s="17"/>
      <c r="BQ491" s="17"/>
      <c r="BR491" s="17"/>
      <c r="BS491" s="17"/>
      <c r="BT491" s="17"/>
      <c r="BU491" s="17"/>
      <c r="BV491" s="17"/>
      <c r="BW491" s="17"/>
      <c r="BX491" s="17"/>
      <c r="BY491" s="17"/>
      <c r="BZ491" s="17"/>
      <c r="CA491" s="17"/>
      <c r="CB491" s="17"/>
      <c r="CC491" s="17"/>
      <c r="CD491" s="17"/>
      <c r="CE491" s="17"/>
      <c r="CF491" s="17"/>
      <c r="CG491" s="17"/>
      <c r="CH491" s="17"/>
      <c r="CI491" s="17"/>
      <c r="CJ491" s="17"/>
      <c r="CK491" s="17"/>
      <c r="CL491" s="17"/>
      <c r="CM491" s="17"/>
      <c r="CN491" s="17"/>
      <c r="CO491" s="17"/>
      <c r="CP491" s="17"/>
      <c r="CQ491" s="17"/>
      <c r="CR491" s="17"/>
      <c r="CS491" s="17"/>
      <c r="CT491" s="17"/>
      <c r="CU491" s="17"/>
      <c r="CV491" s="17"/>
      <c r="CW491" s="17"/>
      <c r="CX491" s="17"/>
      <c r="CY491" s="17"/>
      <c r="CZ491" s="17"/>
      <c r="DA491" s="17"/>
      <c r="DB491" s="17"/>
      <c r="DC491" s="17"/>
      <c r="DD491" s="17"/>
      <c r="DE491" s="17"/>
      <c r="DF491" s="17"/>
      <c r="DG491" s="17"/>
      <c r="DH491" s="17"/>
      <c r="DI491" s="17"/>
      <c r="DJ491" s="17"/>
      <c r="DK491" s="17"/>
      <c r="DL491" s="17"/>
      <c r="DM491" s="17"/>
      <c r="DN491" s="17"/>
      <c r="DO491" s="17"/>
      <c r="DP491" s="17"/>
      <c r="DQ491" s="17"/>
      <c r="DR491" s="17"/>
      <c r="DS491" s="17"/>
      <c r="DT491" s="17"/>
      <c r="DU491" s="17"/>
      <c r="DV491" s="17"/>
      <c r="DW491" s="17"/>
      <c r="DX491" s="17"/>
      <c r="DY491" s="17"/>
      <c r="DZ491" s="17"/>
      <c r="EA491" s="17"/>
      <c r="EB491" s="17"/>
      <c r="EC491" s="17"/>
    </row>
    <row r="492" spans="1:133" x14ac:dyDescent="0.25">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c r="BC492" s="17"/>
      <c r="BD492" s="17"/>
      <c r="BE492" s="17"/>
      <c r="BF492" s="17"/>
      <c r="BG492" s="17"/>
      <c r="BH492" s="17"/>
      <c r="BI492" s="17"/>
      <c r="BJ492" s="17"/>
      <c r="BK492" s="17"/>
      <c r="BL492" s="17"/>
      <c r="BM492" s="17"/>
      <c r="BN492" s="17"/>
      <c r="BO492" s="17"/>
      <c r="BP492" s="17"/>
      <c r="BQ492" s="17"/>
      <c r="BR492" s="17"/>
      <c r="BS492" s="17"/>
      <c r="BT492" s="17"/>
      <c r="BU492" s="17"/>
      <c r="BV492" s="17"/>
      <c r="BW492" s="17"/>
      <c r="BX492" s="17"/>
      <c r="BY492" s="17"/>
      <c r="BZ492" s="17"/>
      <c r="CA492" s="17"/>
      <c r="CB492" s="17"/>
      <c r="CC492" s="17"/>
      <c r="CD492" s="17"/>
      <c r="CE492" s="17"/>
      <c r="CF492" s="17"/>
      <c r="CG492" s="17"/>
      <c r="CH492" s="17"/>
      <c r="CI492" s="17"/>
      <c r="CJ492" s="17"/>
      <c r="CK492" s="17"/>
      <c r="CL492" s="17"/>
      <c r="CM492" s="17"/>
      <c r="CN492" s="17"/>
      <c r="CO492" s="17"/>
      <c r="CP492" s="17"/>
      <c r="CQ492" s="17"/>
      <c r="CR492" s="17"/>
      <c r="CS492" s="17"/>
      <c r="CT492" s="17"/>
      <c r="CU492" s="17"/>
      <c r="CV492" s="17"/>
      <c r="CW492" s="17"/>
      <c r="CX492" s="17"/>
      <c r="CY492" s="17"/>
      <c r="CZ492" s="17"/>
      <c r="DA492" s="17"/>
      <c r="DB492" s="17"/>
      <c r="DC492" s="17"/>
      <c r="DD492" s="17"/>
      <c r="DE492" s="17"/>
      <c r="DF492" s="17"/>
      <c r="DG492" s="17"/>
      <c r="DH492" s="17"/>
      <c r="DI492" s="17"/>
      <c r="DJ492" s="17"/>
      <c r="DK492" s="17"/>
      <c r="DL492" s="17"/>
      <c r="DM492" s="17"/>
      <c r="DN492" s="17"/>
      <c r="DO492" s="17"/>
      <c r="DP492" s="17"/>
      <c r="DQ492" s="17"/>
      <c r="DR492" s="17"/>
      <c r="DS492" s="17"/>
      <c r="DT492" s="17"/>
      <c r="DU492" s="17"/>
      <c r="DV492" s="17"/>
      <c r="DW492" s="17"/>
      <c r="DX492" s="17"/>
      <c r="DY492" s="17"/>
      <c r="DZ492" s="17"/>
      <c r="EA492" s="17"/>
      <c r="EB492" s="17"/>
      <c r="EC492" s="17"/>
    </row>
    <row r="493" spans="1:133" x14ac:dyDescent="0.25">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c r="BC493" s="17"/>
      <c r="BD493" s="17"/>
      <c r="BE493" s="17"/>
      <c r="BF493" s="17"/>
      <c r="BG493" s="17"/>
      <c r="BH493" s="17"/>
      <c r="BI493" s="17"/>
      <c r="BJ493" s="17"/>
      <c r="BK493" s="17"/>
      <c r="BL493" s="17"/>
      <c r="BM493" s="17"/>
      <c r="BN493" s="17"/>
      <c r="BO493" s="17"/>
      <c r="BP493" s="17"/>
      <c r="BQ493" s="17"/>
      <c r="BR493" s="17"/>
      <c r="BS493" s="17"/>
      <c r="BT493" s="17"/>
      <c r="BU493" s="17"/>
      <c r="BV493" s="17"/>
      <c r="BW493" s="17"/>
      <c r="BX493" s="17"/>
      <c r="BY493" s="17"/>
      <c r="BZ493" s="17"/>
      <c r="CA493" s="17"/>
      <c r="CB493" s="17"/>
      <c r="CC493" s="17"/>
      <c r="CD493" s="17"/>
      <c r="CE493" s="17"/>
      <c r="CF493" s="17"/>
      <c r="CG493" s="17"/>
      <c r="CH493" s="17"/>
      <c r="CI493" s="17"/>
      <c r="CJ493" s="17"/>
      <c r="CK493" s="17"/>
      <c r="CL493" s="17"/>
      <c r="CM493" s="17"/>
      <c r="CN493" s="17"/>
      <c r="CO493" s="17"/>
      <c r="CP493" s="17"/>
      <c r="CQ493" s="17"/>
      <c r="CR493" s="17"/>
      <c r="CS493" s="17"/>
      <c r="CT493" s="17"/>
      <c r="CU493" s="17"/>
      <c r="CV493" s="17"/>
      <c r="CW493" s="17"/>
      <c r="CX493" s="17"/>
      <c r="CY493" s="17"/>
      <c r="CZ493" s="17"/>
      <c r="DA493" s="17"/>
      <c r="DB493" s="17"/>
      <c r="DC493" s="17"/>
      <c r="DD493" s="17"/>
      <c r="DE493" s="17"/>
      <c r="DF493" s="17"/>
      <c r="DG493" s="17"/>
      <c r="DH493" s="17"/>
      <c r="DI493" s="17"/>
      <c r="DJ493" s="17"/>
      <c r="DK493" s="17"/>
      <c r="DL493" s="17"/>
      <c r="DM493" s="17"/>
      <c r="DN493" s="17"/>
      <c r="DO493" s="17"/>
      <c r="DP493" s="17"/>
      <c r="DQ493" s="17"/>
      <c r="DR493" s="17"/>
      <c r="DS493" s="17"/>
      <c r="DT493" s="17"/>
      <c r="DU493" s="17"/>
      <c r="DV493" s="17"/>
      <c r="DW493" s="17"/>
      <c r="DX493" s="17"/>
      <c r="DY493" s="17"/>
      <c r="DZ493" s="17"/>
      <c r="EA493" s="17"/>
      <c r="EB493" s="17"/>
      <c r="EC493" s="17"/>
    </row>
    <row r="494" spans="1:133" x14ac:dyDescent="0.25">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c r="BC494" s="17"/>
      <c r="BD494" s="17"/>
      <c r="BE494" s="17"/>
      <c r="BF494" s="17"/>
      <c r="BG494" s="17"/>
      <c r="BH494" s="17"/>
      <c r="BI494" s="17"/>
      <c r="BJ494" s="17"/>
      <c r="BK494" s="17"/>
      <c r="BL494" s="17"/>
      <c r="BM494" s="17"/>
      <c r="BN494" s="17"/>
      <c r="BO494" s="17"/>
      <c r="BP494" s="17"/>
      <c r="BQ494" s="17"/>
      <c r="BR494" s="17"/>
      <c r="BS494" s="17"/>
      <c r="BT494" s="17"/>
      <c r="BU494" s="17"/>
      <c r="BV494" s="17"/>
      <c r="BW494" s="17"/>
      <c r="BX494" s="17"/>
      <c r="BY494" s="17"/>
      <c r="BZ494" s="17"/>
      <c r="CA494" s="17"/>
      <c r="CB494" s="17"/>
      <c r="CC494" s="17"/>
      <c r="CD494" s="17"/>
      <c r="CE494" s="17"/>
      <c r="CF494" s="17"/>
      <c r="CG494" s="17"/>
      <c r="CH494" s="17"/>
      <c r="CI494" s="17"/>
      <c r="CJ494" s="17"/>
      <c r="CK494" s="17"/>
      <c r="CL494" s="17"/>
      <c r="CM494" s="17"/>
      <c r="CN494" s="17"/>
      <c r="CO494" s="17"/>
      <c r="CP494" s="17"/>
      <c r="CQ494" s="17"/>
      <c r="CR494" s="17"/>
      <c r="CS494" s="17"/>
      <c r="CT494" s="17"/>
      <c r="CU494" s="17"/>
      <c r="CV494" s="17"/>
      <c r="CW494" s="17"/>
      <c r="CX494" s="17"/>
      <c r="CY494" s="17"/>
      <c r="CZ494" s="17"/>
      <c r="DA494" s="17"/>
      <c r="DB494" s="17"/>
      <c r="DC494" s="17"/>
      <c r="DD494" s="17"/>
      <c r="DE494" s="17"/>
      <c r="DF494" s="17"/>
      <c r="DG494" s="17"/>
      <c r="DH494" s="17"/>
      <c r="DI494" s="17"/>
      <c r="DJ494" s="17"/>
      <c r="DK494" s="17"/>
      <c r="DL494" s="17"/>
      <c r="DM494" s="17"/>
      <c r="DN494" s="17"/>
      <c r="DO494" s="17"/>
      <c r="DP494" s="17"/>
      <c r="DQ494" s="17"/>
      <c r="DR494" s="17"/>
      <c r="DS494" s="17"/>
      <c r="DT494" s="17"/>
      <c r="DU494" s="17"/>
      <c r="DV494" s="17"/>
      <c r="DW494" s="17"/>
      <c r="DX494" s="17"/>
      <c r="DY494" s="17"/>
      <c r="DZ494" s="17"/>
      <c r="EA494" s="17"/>
      <c r="EB494" s="17"/>
      <c r="EC494" s="17"/>
    </row>
    <row r="495" spans="1:133" x14ac:dyDescent="0.2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c r="BC495" s="17"/>
      <c r="BD495" s="17"/>
      <c r="BE495" s="17"/>
      <c r="BF495" s="17"/>
      <c r="BG495" s="17"/>
      <c r="BH495" s="17"/>
      <c r="BI495" s="17"/>
      <c r="BJ495" s="17"/>
      <c r="BK495" s="17"/>
      <c r="BL495" s="17"/>
      <c r="BM495" s="17"/>
      <c r="BN495" s="17"/>
      <c r="BO495" s="17"/>
      <c r="BP495" s="17"/>
      <c r="BQ495" s="17"/>
      <c r="BR495" s="17"/>
      <c r="BS495" s="17"/>
      <c r="BT495" s="17"/>
      <c r="BU495" s="17"/>
      <c r="BV495" s="17"/>
      <c r="BW495" s="17"/>
      <c r="BX495" s="17"/>
      <c r="BY495" s="17"/>
      <c r="BZ495" s="17"/>
      <c r="CA495" s="17"/>
      <c r="CB495" s="17"/>
      <c r="CC495" s="17"/>
      <c r="CD495" s="17"/>
      <c r="CE495" s="17"/>
      <c r="CF495" s="17"/>
      <c r="CG495" s="17"/>
      <c r="CH495" s="17"/>
      <c r="CI495" s="17"/>
      <c r="CJ495" s="17"/>
      <c r="CK495" s="17"/>
      <c r="CL495" s="17"/>
      <c r="CM495" s="17"/>
      <c r="CN495" s="17"/>
      <c r="CO495" s="17"/>
      <c r="CP495" s="17"/>
      <c r="CQ495" s="17"/>
      <c r="CR495" s="17"/>
      <c r="CS495" s="17"/>
      <c r="CT495" s="17"/>
      <c r="CU495" s="17"/>
      <c r="CV495" s="17"/>
      <c r="CW495" s="17"/>
      <c r="CX495" s="17"/>
      <c r="CY495" s="17"/>
      <c r="CZ495" s="17"/>
      <c r="DA495" s="17"/>
      <c r="DB495" s="17"/>
      <c r="DC495" s="17"/>
      <c r="DD495" s="17"/>
      <c r="DE495" s="17"/>
      <c r="DF495" s="17"/>
      <c r="DG495" s="17"/>
      <c r="DH495" s="17"/>
      <c r="DI495" s="17"/>
      <c r="DJ495" s="17"/>
      <c r="DK495" s="17"/>
      <c r="DL495" s="17"/>
      <c r="DM495" s="17"/>
      <c r="DN495" s="17"/>
      <c r="DO495" s="17"/>
      <c r="DP495" s="17"/>
      <c r="DQ495" s="17"/>
      <c r="DR495" s="17"/>
      <c r="DS495" s="17"/>
      <c r="DT495" s="17"/>
      <c r="DU495" s="17"/>
      <c r="DV495" s="17"/>
      <c r="DW495" s="17"/>
      <c r="DX495" s="17"/>
      <c r="DY495" s="17"/>
      <c r="DZ495" s="17"/>
      <c r="EA495" s="17"/>
      <c r="EB495" s="17"/>
      <c r="EC495" s="17"/>
    </row>
    <row r="496" spans="1:133" x14ac:dyDescent="0.25">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c r="BC496" s="17"/>
      <c r="BD496" s="17"/>
      <c r="BE496" s="17"/>
      <c r="BF496" s="17"/>
      <c r="BG496" s="17"/>
      <c r="BH496" s="17"/>
      <c r="BI496" s="17"/>
      <c r="BJ496" s="17"/>
      <c r="BK496" s="17"/>
      <c r="BL496" s="17"/>
      <c r="BM496" s="17"/>
      <c r="BN496" s="17"/>
      <c r="BO496" s="17"/>
      <c r="BP496" s="17"/>
      <c r="BQ496" s="17"/>
      <c r="BR496" s="17"/>
      <c r="BS496" s="17"/>
      <c r="BT496" s="17"/>
      <c r="BU496" s="17"/>
      <c r="BV496" s="17"/>
      <c r="BW496" s="17"/>
      <c r="BX496" s="17"/>
      <c r="BY496" s="17"/>
      <c r="BZ496" s="17"/>
      <c r="CA496" s="17"/>
      <c r="CB496" s="17"/>
      <c r="CC496" s="17"/>
      <c r="CD496" s="17"/>
      <c r="CE496" s="17"/>
      <c r="CF496" s="17"/>
      <c r="CG496" s="17"/>
      <c r="CH496" s="17"/>
      <c r="CI496" s="17"/>
      <c r="CJ496" s="17"/>
      <c r="CK496" s="17"/>
      <c r="CL496" s="17"/>
      <c r="CM496" s="17"/>
      <c r="CN496" s="17"/>
      <c r="CO496" s="17"/>
      <c r="CP496" s="17"/>
      <c r="CQ496" s="17"/>
      <c r="CR496" s="17"/>
      <c r="CS496" s="17"/>
      <c r="CT496" s="17"/>
      <c r="CU496" s="17"/>
      <c r="CV496" s="17"/>
      <c r="CW496" s="17"/>
      <c r="CX496" s="17"/>
      <c r="CY496" s="17"/>
      <c r="CZ496" s="17"/>
      <c r="DA496" s="17"/>
      <c r="DB496" s="17"/>
      <c r="DC496" s="17"/>
      <c r="DD496" s="17"/>
      <c r="DE496" s="17"/>
      <c r="DF496" s="17"/>
      <c r="DG496" s="17"/>
      <c r="DH496" s="17"/>
      <c r="DI496" s="17"/>
      <c r="DJ496" s="17"/>
      <c r="DK496" s="17"/>
      <c r="DL496" s="17"/>
      <c r="DM496" s="17"/>
      <c r="DN496" s="17"/>
      <c r="DO496" s="17"/>
      <c r="DP496" s="17"/>
      <c r="DQ496" s="17"/>
      <c r="DR496" s="17"/>
      <c r="DS496" s="17"/>
      <c r="DT496" s="17"/>
      <c r="DU496" s="17"/>
      <c r="DV496" s="17"/>
      <c r="DW496" s="17"/>
      <c r="DX496" s="17"/>
      <c r="DY496" s="17"/>
      <c r="DZ496" s="17"/>
      <c r="EA496" s="17"/>
      <c r="EB496" s="17"/>
      <c r="EC496" s="17"/>
    </row>
    <row r="497" spans="1:133" x14ac:dyDescent="0.25">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c r="BB497" s="17"/>
      <c r="BC497" s="17"/>
      <c r="BD497" s="17"/>
      <c r="BE497" s="17"/>
      <c r="BF497" s="17"/>
      <c r="BG497" s="17"/>
      <c r="BH497" s="17"/>
      <c r="BI497" s="17"/>
      <c r="BJ497" s="17"/>
      <c r="BK497" s="17"/>
      <c r="BL497" s="17"/>
      <c r="BM497" s="17"/>
      <c r="BN497" s="17"/>
      <c r="BO497" s="17"/>
      <c r="BP497" s="17"/>
      <c r="BQ497" s="17"/>
      <c r="BR497" s="17"/>
      <c r="BS497" s="17"/>
      <c r="BT497" s="17"/>
      <c r="BU497" s="17"/>
      <c r="BV497" s="17"/>
      <c r="BW497" s="17"/>
      <c r="BX497" s="17"/>
      <c r="BY497" s="17"/>
      <c r="BZ497" s="17"/>
      <c r="CA497" s="17"/>
      <c r="CB497" s="17"/>
      <c r="CC497" s="17"/>
      <c r="CD497" s="17"/>
      <c r="CE497" s="17"/>
      <c r="CF497" s="17"/>
      <c r="CG497" s="17"/>
      <c r="CH497" s="17"/>
      <c r="CI497" s="17"/>
      <c r="CJ497" s="17"/>
      <c r="CK497" s="17"/>
      <c r="CL497" s="17"/>
      <c r="CM497" s="17"/>
      <c r="CN497" s="17"/>
      <c r="CO497" s="17"/>
      <c r="CP497" s="17"/>
      <c r="CQ497" s="17"/>
      <c r="CR497" s="17"/>
      <c r="CS497" s="17"/>
      <c r="CT497" s="17"/>
      <c r="CU497" s="17"/>
      <c r="CV497" s="17"/>
      <c r="CW497" s="17"/>
      <c r="CX497" s="17"/>
      <c r="CY497" s="17"/>
      <c r="CZ497" s="17"/>
      <c r="DA497" s="17"/>
      <c r="DB497" s="17"/>
      <c r="DC497" s="17"/>
      <c r="DD497" s="17"/>
      <c r="DE497" s="17"/>
      <c r="DF497" s="17"/>
      <c r="DG497" s="17"/>
      <c r="DH497" s="17"/>
      <c r="DI497" s="17"/>
      <c r="DJ497" s="17"/>
      <c r="DK497" s="17"/>
      <c r="DL497" s="17"/>
      <c r="DM497" s="17"/>
      <c r="DN497" s="17"/>
      <c r="DO497" s="17"/>
      <c r="DP497" s="17"/>
      <c r="DQ497" s="17"/>
      <c r="DR497" s="17"/>
      <c r="DS497" s="17"/>
      <c r="DT497" s="17"/>
      <c r="DU497" s="17"/>
      <c r="DV497" s="17"/>
      <c r="DW497" s="17"/>
      <c r="DX497" s="17"/>
      <c r="DY497" s="17"/>
      <c r="DZ497" s="17"/>
      <c r="EA497" s="17"/>
      <c r="EB497" s="17"/>
      <c r="EC497" s="17"/>
    </row>
    <row r="498" spans="1:133" x14ac:dyDescent="0.25">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c r="BB498" s="17"/>
      <c r="BC498" s="17"/>
      <c r="BD498" s="17"/>
      <c r="BE498" s="17"/>
      <c r="BF498" s="17"/>
      <c r="BG498" s="17"/>
      <c r="BH498" s="17"/>
      <c r="BI498" s="17"/>
      <c r="BJ498" s="17"/>
      <c r="BK498" s="17"/>
      <c r="BL498" s="17"/>
      <c r="BM498" s="17"/>
      <c r="BN498" s="17"/>
      <c r="BO498" s="17"/>
      <c r="BP498" s="17"/>
      <c r="BQ498" s="17"/>
      <c r="BR498" s="17"/>
      <c r="BS498" s="17"/>
      <c r="BT498" s="17"/>
      <c r="BU498" s="17"/>
      <c r="BV498" s="17"/>
      <c r="BW498" s="17"/>
      <c r="BX498" s="17"/>
      <c r="BY498" s="17"/>
      <c r="BZ498" s="17"/>
      <c r="CA498" s="17"/>
      <c r="CB498" s="17"/>
      <c r="CC498" s="17"/>
      <c r="CD498" s="17"/>
      <c r="CE498" s="17"/>
      <c r="CF498" s="17"/>
      <c r="CG498" s="17"/>
      <c r="CH498" s="17"/>
      <c r="CI498" s="17"/>
      <c r="CJ498" s="17"/>
      <c r="CK498" s="17"/>
      <c r="CL498" s="17"/>
      <c r="CM498" s="17"/>
      <c r="CN498" s="17"/>
      <c r="CO498" s="17"/>
      <c r="CP498" s="17"/>
      <c r="CQ498" s="17"/>
      <c r="CR498" s="17"/>
      <c r="CS498" s="17"/>
      <c r="CT498" s="17"/>
      <c r="CU498" s="17"/>
      <c r="CV498" s="17"/>
      <c r="CW498" s="17"/>
      <c r="CX498" s="17"/>
      <c r="CY498" s="17"/>
      <c r="CZ498" s="17"/>
      <c r="DA498" s="17"/>
      <c r="DB498" s="17"/>
      <c r="DC498" s="17"/>
      <c r="DD498" s="17"/>
      <c r="DE498" s="17"/>
      <c r="DF498" s="17"/>
      <c r="DG498" s="17"/>
      <c r="DH498" s="17"/>
      <c r="DI498" s="17"/>
      <c r="DJ498" s="17"/>
      <c r="DK498" s="17"/>
      <c r="DL498" s="17"/>
      <c r="DM498" s="17"/>
      <c r="DN498" s="17"/>
      <c r="DO498" s="17"/>
      <c r="DP498" s="17"/>
      <c r="DQ498" s="17"/>
      <c r="DR498" s="17"/>
      <c r="DS498" s="17"/>
      <c r="DT498" s="17"/>
      <c r="DU498" s="17"/>
      <c r="DV498" s="17"/>
      <c r="DW498" s="17"/>
      <c r="DX498" s="17"/>
      <c r="DY498" s="17"/>
      <c r="DZ498" s="17"/>
      <c r="EA498" s="17"/>
      <c r="EB498" s="17"/>
      <c r="EC498" s="17"/>
    </row>
    <row r="499" spans="1:133" x14ac:dyDescent="0.25">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c r="BC499" s="17"/>
      <c r="BD499" s="17"/>
      <c r="BE499" s="17"/>
      <c r="BF499" s="17"/>
      <c r="BG499" s="17"/>
      <c r="BH499" s="17"/>
      <c r="BI499" s="17"/>
      <c r="BJ499" s="17"/>
      <c r="BK499" s="17"/>
      <c r="BL499" s="17"/>
      <c r="BM499" s="17"/>
      <c r="BN499" s="17"/>
      <c r="BO499" s="17"/>
      <c r="BP499" s="17"/>
      <c r="BQ499" s="17"/>
      <c r="BR499" s="17"/>
      <c r="BS499" s="17"/>
      <c r="BT499" s="17"/>
      <c r="BU499" s="17"/>
      <c r="BV499" s="17"/>
      <c r="BW499" s="17"/>
      <c r="BX499" s="17"/>
      <c r="BY499" s="17"/>
      <c r="BZ499" s="17"/>
      <c r="CA499" s="17"/>
      <c r="CB499" s="17"/>
      <c r="CC499" s="17"/>
      <c r="CD499" s="17"/>
      <c r="CE499" s="17"/>
      <c r="CF499" s="17"/>
      <c r="CG499" s="17"/>
      <c r="CH499" s="17"/>
      <c r="CI499" s="17"/>
      <c r="CJ499" s="17"/>
      <c r="CK499" s="17"/>
      <c r="CL499" s="17"/>
      <c r="CM499" s="17"/>
      <c r="CN499" s="17"/>
      <c r="CO499" s="17"/>
      <c r="CP499" s="17"/>
      <c r="CQ499" s="17"/>
      <c r="CR499" s="17"/>
      <c r="CS499" s="17"/>
      <c r="CT499" s="17"/>
      <c r="CU499" s="17"/>
      <c r="CV499" s="17"/>
      <c r="CW499" s="17"/>
      <c r="CX499" s="17"/>
      <c r="CY499" s="17"/>
      <c r="CZ499" s="17"/>
      <c r="DA499" s="17"/>
      <c r="DB499" s="17"/>
      <c r="DC499" s="17"/>
      <c r="DD499" s="17"/>
      <c r="DE499" s="17"/>
      <c r="DF499" s="17"/>
      <c r="DG499" s="17"/>
      <c r="DH499" s="17"/>
      <c r="DI499" s="17"/>
      <c r="DJ499" s="17"/>
      <c r="DK499" s="17"/>
      <c r="DL499" s="17"/>
      <c r="DM499" s="17"/>
      <c r="DN499" s="17"/>
      <c r="DO499" s="17"/>
      <c r="DP499" s="17"/>
      <c r="DQ499" s="17"/>
      <c r="DR499" s="17"/>
      <c r="DS499" s="17"/>
      <c r="DT499" s="17"/>
      <c r="DU499" s="17"/>
      <c r="DV499" s="17"/>
      <c r="DW499" s="17"/>
      <c r="DX499" s="17"/>
      <c r="DY499" s="17"/>
      <c r="DZ499" s="17"/>
      <c r="EA499" s="17"/>
      <c r="EB499" s="17"/>
      <c r="EC499" s="17"/>
    </row>
    <row r="500" spans="1:133" x14ac:dyDescent="0.25">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c r="BC500" s="17"/>
      <c r="BD500" s="17"/>
      <c r="BE500" s="17"/>
      <c r="BF500" s="17"/>
      <c r="BG500" s="17"/>
      <c r="BH500" s="17"/>
      <c r="BI500" s="17"/>
      <c r="BJ500" s="17"/>
      <c r="BK500" s="17"/>
      <c r="BL500" s="17"/>
      <c r="BM500" s="17"/>
      <c r="BN500" s="17"/>
      <c r="BO500" s="17"/>
      <c r="BP500" s="17"/>
      <c r="BQ500" s="17"/>
      <c r="BR500" s="17"/>
      <c r="BS500" s="17"/>
      <c r="BT500" s="17"/>
      <c r="BU500" s="17"/>
      <c r="BV500" s="17"/>
      <c r="BW500" s="17"/>
      <c r="BX500" s="17"/>
      <c r="BY500" s="17"/>
      <c r="BZ500" s="17"/>
      <c r="CA500" s="17"/>
      <c r="CB500" s="17"/>
      <c r="CC500" s="17"/>
      <c r="CD500" s="17"/>
      <c r="CE500" s="17"/>
      <c r="CF500" s="17"/>
      <c r="CG500" s="17"/>
      <c r="CH500" s="17"/>
      <c r="CI500" s="17"/>
      <c r="CJ500" s="17"/>
      <c r="CK500" s="17"/>
      <c r="CL500" s="17"/>
      <c r="CM500" s="17"/>
      <c r="CN500" s="17"/>
      <c r="CO500" s="17"/>
      <c r="CP500" s="17"/>
      <c r="CQ500" s="17"/>
      <c r="CR500" s="17"/>
      <c r="CS500" s="17"/>
      <c r="CT500" s="17"/>
      <c r="CU500" s="17"/>
      <c r="CV500" s="17"/>
      <c r="CW500" s="17"/>
      <c r="CX500" s="17"/>
      <c r="CY500" s="17"/>
      <c r="CZ500" s="17"/>
      <c r="DA500" s="17"/>
      <c r="DB500" s="17"/>
      <c r="DC500" s="17"/>
      <c r="DD500" s="17"/>
      <c r="DE500" s="17"/>
      <c r="DF500" s="17"/>
      <c r="DG500" s="17"/>
      <c r="DH500" s="17"/>
      <c r="DI500" s="17"/>
      <c r="DJ500" s="17"/>
      <c r="DK500" s="17"/>
      <c r="DL500" s="17"/>
      <c r="DM500" s="17"/>
      <c r="DN500" s="17"/>
      <c r="DO500" s="17"/>
      <c r="DP500" s="17"/>
      <c r="DQ500" s="17"/>
      <c r="DR500" s="17"/>
      <c r="DS500" s="17"/>
      <c r="DT500" s="17"/>
      <c r="DU500" s="17"/>
      <c r="DV500" s="17"/>
      <c r="DW500" s="17"/>
      <c r="DX500" s="17"/>
      <c r="DY500" s="17"/>
      <c r="DZ500" s="17"/>
      <c r="EA500" s="17"/>
      <c r="EB500" s="17"/>
      <c r="EC500" s="17"/>
    </row>
    <row r="501" spans="1:133" x14ac:dyDescent="0.25">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c r="BB501" s="17"/>
      <c r="BC501" s="17"/>
      <c r="BD501" s="17"/>
      <c r="BE501" s="17"/>
      <c r="BF501" s="17"/>
      <c r="BG501" s="17"/>
      <c r="BH501" s="17"/>
      <c r="BI501" s="17"/>
      <c r="BJ501" s="17"/>
      <c r="BK501" s="17"/>
      <c r="BL501" s="17"/>
      <c r="BM501" s="17"/>
      <c r="BN501" s="17"/>
      <c r="BO501" s="17"/>
      <c r="BP501" s="17"/>
      <c r="BQ501" s="17"/>
      <c r="BR501" s="17"/>
      <c r="BS501" s="17"/>
      <c r="BT501" s="17"/>
      <c r="BU501" s="17"/>
      <c r="BV501" s="17"/>
      <c r="BW501" s="17"/>
      <c r="BX501" s="17"/>
      <c r="BY501" s="17"/>
      <c r="BZ501" s="17"/>
      <c r="CA501" s="17"/>
      <c r="CB501" s="17"/>
      <c r="CC501" s="17"/>
      <c r="CD501" s="17"/>
      <c r="CE501" s="17"/>
      <c r="CF501" s="17"/>
      <c r="CG501" s="17"/>
      <c r="CH501" s="17"/>
      <c r="CI501" s="17"/>
      <c r="CJ501" s="17"/>
      <c r="CK501" s="17"/>
      <c r="CL501" s="17"/>
      <c r="CM501" s="17"/>
      <c r="CN501" s="17"/>
      <c r="CO501" s="17"/>
      <c r="CP501" s="17"/>
      <c r="CQ501" s="17"/>
      <c r="CR501" s="17"/>
      <c r="CS501" s="17"/>
      <c r="CT501" s="17"/>
      <c r="CU501" s="17"/>
      <c r="CV501" s="17"/>
      <c r="CW501" s="17"/>
      <c r="CX501" s="17"/>
      <c r="CY501" s="17"/>
      <c r="CZ501" s="17"/>
      <c r="DA501" s="17"/>
      <c r="DB501" s="17"/>
      <c r="DC501" s="17"/>
      <c r="DD501" s="17"/>
      <c r="DE501" s="17"/>
      <c r="DF501" s="17"/>
      <c r="DG501" s="17"/>
      <c r="DH501" s="17"/>
      <c r="DI501" s="17"/>
      <c r="DJ501" s="17"/>
      <c r="DK501" s="17"/>
      <c r="DL501" s="17"/>
      <c r="DM501" s="17"/>
      <c r="DN501" s="17"/>
      <c r="DO501" s="17"/>
      <c r="DP501" s="17"/>
      <c r="DQ501" s="17"/>
      <c r="DR501" s="17"/>
      <c r="DS501" s="17"/>
      <c r="DT501" s="17"/>
      <c r="DU501" s="17"/>
      <c r="DV501" s="17"/>
      <c r="DW501" s="17"/>
      <c r="DX501" s="17"/>
      <c r="DY501" s="17"/>
      <c r="DZ501" s="17"/>
      <c r="EA501" s="17"/>
      <c r="EB501" s="17"/>
      <c r="EC501" s="17"/>
    </row>
    <row r="502" spans="1:133" x14ac:dyDescent="0.25">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c r="BC502" s="17"/>
      <c r="BD502" s="17"/>
      <c r="BE502" s="17"/>
      <c r="BF502" s="17"/>
      <c r="BG502" s="17"/>
      <c r="BH502" s="17"/>
      <c r="BI502" s="17"/>
      <c r="BJ502" s="17"/>
      <c r="BK502" s="17"/>
      <c r="BL502" s="17"/>
      <c r="BM502" s="17"/>
      <c r="BN502" s="17"/>
      <c r="BO502" s="17"/>
      <c r="BP502" s="17"/>
      <c r="BQ502" s="17"/>
      <c r="BR502" s="17"/>
      <c r="BS502" s="17"/>
      <c r="BT502" s="17"/>
      <c r="BU502" s="17"/>
      <c r="BV502" s="17"/>
      <c r="BW502" s="17"/>
      <c r="BX502" s="17"/>
      <c r="BY502" s="17"/>
      <c r="BZ502" s="17"/>
      <c r="CA502" s="17"/>
      <c r="CB502" s="17"/>
      <c r="CC502" s="17"/>
      <c r="CD502" s="17"/>
      <c r="CE502" s="17"/>
      <c r="CF502" s="17"/>
      <c r="CG502" s="17"/>
      <c r="CH502" s="17"/>
      <c r="CI502" s="17"/>
      <c r="CJ502" s="17"/>
      <c r="CK502" s="17"/>
      <c r="CL502" s="17"/>
      <c r="CM502" s="17"/>
      <c r="CN502" s="17"/>
      <c r="CO502" s="17"/>
      <c r="CP502" s="17"/>
      <c r="CQ502" s="17"/>
      <c r="CR502" s="17"/>
      <c r="CS502" s="17"/>
      <c r="CT502" s="17"/>
      <c r="CU502" s="17"/>
      <c r="CV502" s="17"/>
      <c r="CW502" s="17"/>
      <c r="CX502" s="17"/>
      <c r="CY502" s="17"/>
      <c r="CZ502" s="17"/>
      <c r="DA502" s="17"/>
      <c r="DB502" s="17"/>
      <c r="DC502" s="17"/>
      <c r="DD502" s="17"/>
      <c r="DE502" s="17"/>
      <c r="DF502" s="17"/>
      <c r="DG502" s="17"/>
      <c r="DH502" s="17"/>
      <c r="DI502" s="17"/>
      <c r="DJ502" s="17"/>
      <c r="DK502" s="17"/>
      <c r="DL502" s="17"/>
      <c r="DM502" s="17"/>
      <c r="DN502" s="17"/>
      <c r="DO502" s="17"/>
      <c r="DP502" s="17"/>
      <c r="DQ502" s="17"/>
      <c r="DR502" s="17"/>
      <c r="DS502" s="17"/>
      <c r="DT502" s="17"/>
      <c r="DU502" s="17"/>
      <c r="DV502" s="17"/>
      <c r="DW502" s="17"/>
      <c r="DX502" s="17"/>
      <c r="DY502" s="17"/>
      <c r="DZ502" s="17"/>
      <c r="EA502" s="17"/>
      <c r="EB502" s="17"/>
      <c r="EC502" s="17"/>
    </row>
    <row r="503" spans="1:133" x14ac:dyDescent="0.25">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c r="BC503" s="17"/>
      <c r="BD503" s="17"/>
      <c r="BE503" s="17"/>
      <c r="BF503" s="17"/>
      <c r="BG503" s="17"/>
      <c r="BH503" s="17"/>
      <c r="BI503" s="17"/>
      <c r="BJ503" s="17"/>
      <c r="BK503" s="17"/>
      <c r="BL503" s="17"/>
      <c r="BM503" s="17"/>
      <c r="BN503" s="17"/>
      <c r="BO503" s="17"/>
      <c r="BP503" s="17"/>
      <c r="BQ503" s="17"/>
      <c r="BR503" s="17"/>
      <c r="BS503" s="17"/>
      <c r="BT503" s="17"/>
      <c r="BU503" s="17"/>
      <c r="BV503" s="17"/>
      <c r="BW503" s="17"/>
      <c r="BX503" s="17"/>
      <c r="BY503" s="17"/>
      <c r="BZ503" s="17"/>
      <c r="CA503" s="17"/>
      <c r="CB503" s="17"/>
      <c r="CC503" s="17"/>
      <c r="CD503" s="17"/>
      <c r="CE503" s="17"/>
      <c r="CF503" s="17"/>
      <c r="CG503" s="17"/>
      <c r="CH503" s="17"/>
      <c r="CI503" s="17"/>
      <c r="CJ503" s="17"/>
      <c r="CK503" s="17"/>
      <c r="CL503" s="17"/>
      <c r="CM503" s="17"/>
      <c r="CN503" s="17"/>
      <c r="CO503" s="17"/>
      <c r="CP503" s="17"/>
      <c r="CQ503" s="17"/>
      <c r="CR503" s="17"/>
      <c r="CS503" s="17"/>
      <c r="CT503" s="17"/>
      <c r="CU503" s="17"/>
      <c r="CV503" s="17"/>
      <c r="CW503" s="17"/>
      <c r="CX503" s="17"/>
      <c r="CY503" s="17"/>
      <c r="CZ503" s="17"/>
      <c r="DA503" s="17"/>
      <c r="DB503" s="17"/>
      <c r="DC503" s="17"/>
      <c r="DD503" s="17"/>
      <c r="DE503" s="17"/>
      <c r="DF503" s="17"/>
      <c r="DG503" s="17"/>
      <c r="DH503" s="17"/>
      <c r="DI503" s="17"/>
      <c r="DJ503" s="17"/>
      <c r="DK503" s="17"/>
      <c r="DL503" s="17"/>
      <c r="DM503" s="17"/>
      <c r="DN503" s="17"/>
      <c r="DO503" s="17"/>
      <c r="DP503" s="17"/>
      <c r="DQ503" s="17"/>
      <c r="DR503" s="17"/>
      <c r="DS503" s="17"/>
      <c r="DT503" s="17"/>
      <c r="DU503" s="17"/>
      <c r="DV503" s="17"/>
      <c r="DW503" s="17"/>
      <c r="DX503" s="17"/>
      <c r="DY503" s="17"/>
      <c r="DZ503" s="17"/>
      <c r="EA503" s="17"/>
      <c r="EB503" s="17"/>
      <c r="EC503" s="17"/>
    </row>
    <row r="504" spans="1:133" x14ac:dyDescent="0.25">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c r="BB504" s="17"/>
      <c r="BC504" s="17"/>
      <c r="BD504" s="17"/>
      <c r="BE504" s="17"/>
      <c r="BF504" s="17"/>
      <c r="BG504" s="17"/>
      <c r="BH504" s="17"/>
      <c r="BI504" s="17"/>
      <c r="BJ504" s="17"/>
      <c r="BK504" s="17"/>
      <c r="BL504" s="17"/>
      <c r="BM504" s="17"/>
      <c r="BN504" s="17"/>
      <c r="BO504" s="17"/>
      <c r="BP504" s="17"/>
      <c r="BQ504" s="17"/>
      <c r="BR504" s="17"/>
      <c r="BS504" s="17"/>
      <c r="BT504" s="17"/>
      <c r="BU504" s="17"/>
      <c r="BV504" s="17"/>
      <c r="BW504" s="17"/>
      <c r="BX504" s="17"/>
      <c r="BY504" s="17"/>
      <c r="BZ504" s="17"/>
      <c r="CA504" s="17"/>
      <c r="CB504" s="17"/>
      <c r="CC504" s="17"/>
      <c r="CD504" s="17"/>
      <c r="CE504" s="17"/>
      <c r="CF504" s="17"/>
      <c r="CG504" s="17"/>
      <c r="CH504" s="17"/>
      <c r="CI504" s="17"/>
      <c r="CJ504" s="17"/>
      <c r="CK504" s="17"/>
      <c r="CL504" s="17"/>
      <c r="CM504" s="17"/>
      <c r="CN504" s="17"/>
      <c r="CO504" s="17"/>
      <c r="CP504" s="17"/>
      <c r="CQ504" s="17"/>
      <c r="CR504" s="17"/>
      <c r="CS504" s="17"/>
      <c r="CT504" s="17"/>
      <c r="CU504" s="17"/>
      <c r="CV504" s="17"/>
      <c r="CW504" s="17"/>
      <c r="CX504" s="17"/>
      <c r="CY504" s="17"/>
      <c r="CZ504" s="17"/>
      <c r="DA504" s="17"/>
      <c r="DB504" s="17"/>
      <c r="DC504" s="17"/>
      <c r="DD504" s="17"/>
      <c r="DE504" s="17"/>
      <c r="DF504" s="17"/>
      <c r="DG504" s="17"/>
      <c r="DH504" s="17"/>
      <c r="DI504" s="17"/>
      <c r="DJ504" s="17"/>
      <c r="DK504" s="17"/>
      <c r="DL504" s="17"/>
      <c r="DM504" s="17"/>
      <c r="DN504" s="17"/>
      <c r="DO504" s="17"/>
      <c r="DP504" s="17"/>
      <c r="DQ504" s="17"/>
      <c r="DR504" s="17"/>
      <c r="DS504" s="17"/>
      <c r="DT504" s="17"/>
      <c r="DU504" s="17"/>
      <c r="DV504" s="17"/>
      <c r="DW504" s="17"/>
      <c r="DX504" s="17"/>
      <c r="DY504" s="17"/>
      <c r="DZ504" s="17"/>
      <c r="EA504" s="17"/>
      <c r="EB504" s="17"/>
      <c r="EC504" s="17"/>
    </row>
    <row r="505" spans="1:133" x14ac:dyDescent="0.2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c r="BC505" s="17"/>
      <c r="BD505" s="17"/>
      <c r="BE505" s="17"/>
      <c r="BF505" s="17"/>
      <c r="BG505" s="17"/>
      <c r="BH505" s="17"/>
      <c r="BI505" s="17"/>
      <c r="BJ505" s="17"/>
      <c r="BK505" s="17"/>
      <c r="BL505" s="17"/>
      <c r="BM505" s="17"/>
      <c r="BN505" s="17"/>
      <c r="BO505" s="17"/>
      <c r="BP505" s="17"/>
      <c r="BQ505" s="17"/>
      <c r="BR505" s="17"/>
      <c r="BS505" s="17"/>
      <c r="BT505" s="17"/>
      <c r="BU505" s="17"/>
      <c r="BV505" s="17"/>
      <c r="BW505" s="17"/>
      <c r="BX505" s="17"/>
      <c r="BY505" s="17"/>
      <c r="BZ505" s="17"/>
      <c r="CA505" s="17"/>
      <c r="CB505" s="17"/>
      <c r="CC505" s="17"/>
      <c r="CD505" s="17"/>
      <c r="CE505" s="17"/>
      <c r="CF505" s="17"/>
      <c r="CG505" s="17"/>
      <c r="CH505" s="17"/>
      <c r="CI505" s="17"/>
      <c r="CJ505" s="17"/>
      <c r="CK505" s="17"/>
      <c r="CL505" s="17"/>
      <c r="CM505" s="17"/>
      <c r="CN505" s="17"/>
      <c r="CO505" s="17"/>
      <c r="CP505" s="17"/>
      <c r="CQ505" s="17"/>
      <c r="CR505" s="17"/>
      <c r="CS505" s="17"/>
      <c r="CT505" s="17"/>
      <c r="CU505" s="17"/>
      <c r="CV505" s="17"/>
      <c r="CW505" s="17"/>
      <c r="CX505" s="17"/>
      <c r="CY505" s="17"/>
      <c r="CZ505" s="17"/>
      <c r="DA505" s="17"/>
      <c r="DB505" s="17"/>
      <c r="DC505" s="17"/>
      <c r="DD505" s="17"/>
      <c r="DE505" s="17"/>
      <c r="DF505" s="17"/>
      <c r="DG505" s="17"/>
      <c r="DH505" s="17"/>
      <c r="DI505" s="17"/>
      <c r="DJ505" s="17"/>
      <c r="DK505" s="17"/>
      <c r="DL505" s="17"/>
      <c r="DM505" s="17"/>
      <c r="DN505" s="17"/>
      <c r="DO505" s="17"/>
      <c r="DP505" s="17"/>
      <c r="DQ505" s="17"/>
      <c r="DR505" s="17"/>
      <c r="DS505" s="17"/>
      <c r="DT505" s="17"/>
      <c r="DU505" s="17"/>
      <c r="DV505" s="17"/>
      <c r="DW505" s="17"/>
      <c r="DX505" s="17"/>
      <c r="DY505" s="17"/>
      <c r="DZ505" s="17"/>
      <c r="EA505" s="17"/>
      <c r="EB505" s="17"/>
      <c r="EC505" s="17"/>
    </row>
    <row r="506" spans="1:133" x14ac:dyDescent="0.25">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c r="BB506" s="17"/>
      <c r="BC506" s="17"/>
      <c r="BD506" s="17"/>
      <c r="BE506" s="17"/>
      <c r="BF506" s="17"/>
      <c r="BG506" s="17"/>
      <c r="BH506" s="17"/>
      <c r="BI506" s="17"/>
      <c r="BJ506" s="17"/>
      <c r="BK506" s="17"/>
      <c r="BL506" s="17"/>
      <c r="BM506" s="17"/>
      <c r="BN506" s="17"/>
      <c r="BO506" s="17"/>
      <c r="BP506" s="17"/>
      <c r="BQ506" s="17"/>
      <c r="BR506" s="17"/>
      <c r="BS506" s="17"/>
      <c r="BT506" s="17"/>
      <c r="BU506" s="17"/>
      <c r="BV506" s="17"/>
      <c r="BW506" s="17"/>
      <c r="BX506" s="17"/>
      <c r="BY506" s="17"/>
      <c r="BZ506" s="17"/>
      <c r="CA506" s="17"/>
      <c r="CB506" s="17"/>
      <c r="CC506" s="17"/>
      <c r="CD506" s="17"/>
      <c r="CE506" s="17"/>
      <c r="CF506" s="17"/>
      <c r="CG506" s="17"/>
      <c r="CH506" s="17"/>
      <c r="CI506" s="17"/>
      <c r="CJ506" s="17"/>
      <c r="CK506" s="17"/>
      <c r="CL506" s="17"/>
      <c r="CM506" s="17"/>
      <c r="CN506" s="17"/>
      <c r="CO506" s="17"/>
      <c r="CP506" s="17"/>
      <c r="CQ506" s="17"/>
      <c r="CR506" s="17"/>
      <c r="CS506" s="17"/>
      <c r="CT506" s="17"/>
      <c r="CU506" s="17"/>
      <c r="CV506" s="17"/>
      <c r="CW506" s="17"/>
      <c r="CX506" s="17"/>
      <c r="CY506" s="17"/>
      <c r="CZ506" s="17"/>
      <c r="DA506" s="17"/>
      <c r="DB506" s="17"/>
      <c r="DC506" s="17"/>
      <c r="DD506" s="17"/>
      <c r="DE506" s="17"/>
      <c r="DF506" s="17"/>
      <c r="DG506" s="17"/>
      <c r="DH506" s="17"/>
      <c r="DI506" s="17"/>
      <c r="DJ506" s="17"/>
      <c r="DK506" s="17"/>
      <c r="DL506" s="17"/>
      <c r="DM506" s="17"/>
      <c r="DN506" s="17"/>
      <c r="DO506" s="17"/>
      <c r="DP506" s="17"/>
      <c r="DQ506" s="17"/>
      <c r="DR506" s="17"/>
      <c r="DS506" s="17"/>
      <c r="DT506" s="17"/>
      <c r="DU506" s="17"/>
      <c r="DV506" s="17"/>
      <c r="DW506" s="17"/>
      <c r="DX506" s="17"/>
      <c r="DY506" s="17"/>
      <c r="DZ506" s="17"/>
      <c r="EA506" s="17"/>
      <c r="EB506" s="17"/>
      <c r="EC506" s="17"/>
    </row>
    <row r="507" spans="1:133" x14ac:dyDescent="0.25">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c r="BC507" s="17"/>
      <c r="BD507" s="17"/>
      <c r="BE507" s="17"/>
      <c r="BF507" s="17"/>
      <c r="BG507" s="17"/>
      <c r="BH507" s="17"/>
      <c r="BI507" s="17"/>
      <c r="BJ507" s="17"/>
      <c r="BK507" s="17"/>
      <c r="BL507" s="17"/>
      <c r="BM507" s="17"/>
      <c r="BN507" s="17"/>
      <c r="BO507" s="17"/>
      <c r="BP507" s="17"/>
      <c r="BQ507" s="17"/>
      <c r="BR507" s="17"/>
      <c r="BS507" s="17"/>
      <c r="BT507" s="17"/>
      <c r="BU507" s="17"/>
      <c r="BV507" s="17"/>
      <c r="BW507" s="17"/>
      <c r="BX507" s="17"/>
      <c r="BY507" s="17"/>
      <c r="BZ507" s="17"/>
      <c r="CA507" s="17"/>
      <c r="CB507" s="17"/>
      <c r="CC507" s="17"/>
      <c r="CD507" s="17"/>
      <c r="CE507" s="17"/>
      <c r="CF507" s="17"/>
      <c r="CG507" s="17"/>
      <c r="CH507" s="17"/>
      <c r="CI507" s="17"/>
      <c r="CJ507" s="17"/>
      <c r="CK507" s="17"/>
      <c r="CL507" s="17"/>
      <c r="CM507" s="17"/>
      <c r="CN507" s="17"/>
      <c r="CO507" s="17"/>
      <c r="CP507" s="17"/>
      <c r="CQ507" s="17"/>
      <c r="CR507" s="17"/>
      <c r="CS507" s="17"/>
      <c r="CT507" s="17"/>
      <c r="CU507" s="17"/>
      <c r="CV507" s="17"/>
      <c r="CW507" s="17"/>
      <c r="CX507" s="17"/>
      <c r="CY507" s="17"/>
      <c r="CZ507" s="17"/>
      <c r="DA507" s="17"/>
      <c r="DB507" s="17"/>
      <c r="DC507" s="17"/>
      <c r="DD507" s="17"/>
      <c r="DE507" s="17"/>
      <c r="DF507" s="17"/>
      <c r="DG507" s="17"/>
      <c r="DH507" s="17"/>
      <c r="DI507" s="17"/>
      <c r="DJ507" s="17"/>
      <c r="DK507" s="17"/>
      <c r="DL507" s="17"/>
      <c r="DM507" s="17"/>
      <c r="DN507" s="17"/>
      <c r="DO507" s="17"/>
      <c r="DP507" s="17"/>
      <c r="DQ507" s="17"/>
      <c r="DR507" s="17"/>
      <c r="DS507" s="17"/>
      <c r="DT507" s="17"/>
      <c r="DU507" s="17"/>
      <c r="DV507" s="17"/>
      <c r="DW507" s="17"/>
      <c r="DX507" s="17"/>
      <c r="DY507" s="17"/>
      <c r="DZ507" s="17"/>
      <c r="EA507" s="17"/>
      <c r="EB507" s="17"/>
      <c r="EC507" s="17"/>
    </row>
    <row r="508" spans="1:133" x14ac:dyDescent="0.25">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c r="BC508" s="17"/>
      <c r="BD508" s="17"/>
      <c r="BE508" s="17"/>
      <c r="BF508" s="17"/>
      <c r="BG508" s="17"/>
      <c r="BH508" s="17"/>
      <c r="BI508" s="17"/>
      <c r="BJ508" s="17"/>
      <c r="BK508" s="17"/>
      <c r="BL508" s="17"/>
      <c r="BM508" s="17"/>
      <c r="BN508" s="17"/>
      <c r="BO508" s="17"/>
      <c r="BP508" s="17"/>
      <c r="BQ508" s="17"/>
      <c r="BR508" s="17"/>
      <c r="BS508" s="17"/>
      <c r="BT508" s="17"/>
      <c r="BU508" s="17"/>
      <c r="BV508" s="17"/>
      <c r="BW508" s="17"/>
      <c r="BX508" s="17"/>
      <c r="BY508" s="17"/>
      <c r="BZ508" s="17"/>
      <c r="CA508" s="17"/>
      <c r="CB508" s="17"/>
      <c r="CC508" s="17"/>
      <c r="CD508" s="17"/>
      <c r="CE508" s="17"/>
      <c r="CF508" s="17"/>
      <c r="CG508" s="17"/>
      <c r="CH508" s="17"/>
      <c r="CI508" s="17"/>
      <c r="CJ508" s="17"/>
      <c r="CK508" s="17"/>
      <c r="CL508" s="17"/>
      <c r="CM508" s="17"/>
      <c r="CN508" s="17"/>
      <c r="CO508" s="17"/>
      <c r="CP508" s="17"/>
      <c r="CQ508" s="17"/>
      <c r="CR508" s="17"/>
      <c r="CS508" s="17"/>
      <c r="CT508" s="17"/>
      <c r="CU508" s="17"/>
      <c r="CV508" s="17"/>
      <c r="CW508" s="17"/>
      <c r="CX508" s="17"/>
      <c r="CY508" s="17"/>
      <c r="CZ508" s="17"/>
      <c r="DA508" s="17"/>
      <c r="DB508" s="17"/>
      <c r="DC508" s="17"/>
      <c r="DD508" s="17"/>
      <c r="DE508" s="17"/>
      <c r="DF508" s="17"/>
      <c r="DG508" s="17"/>
      <c r="DH508" s="17"/>
      <c r="DI508" s="17"/>
      <c r="DJ508" s="17"/>
      <c r="DK508" s="17"/>
      <c r="DL508" s="17"/>
      <c r="DM508" s="17"/>
      <c r="DN508" s="17"/>
      <c r="DO508" s="17"/>
      <c r="DP508" s="17"/>
      <c r="DQ508" s="17"/>
      <c r="DR508" s="17"/>
      <c r="DS508" s="17"/>
      <c r="DT508" s="17"/>
      <c r="DU508" s="17"/>
      <c r="DV508" s="17"/>
      <c r="DW508" s="17"/>
      <c r="DX508" s="17"/>
      <c r="DY508" s="17"/>
      <c r="DZ508" s="17"/>
      <c r="EA508" s="17"/>
      <c r="EB508" s="17"/>
      <c r="EC508" s="17"/>
    </row>
    <row r="509" spans="1:133" x14ac:dyDescent="0.25">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c r="BB509" s="17"/>
      <c r="BC509" s="17"/>
      <c r="BD509" s="17"/>
      <c r="BE509" s="17"/>
      <c r="BF509" s="17"/>
      <c r="BG509" s="17"/>
      <c r="BH509" s="17"/>
      <c r="BI509" s="17"/>
      <c r="BJ509" s="17"/>
      <c r="BK509" s="17"/>
      <c r="BL509" s="17"/>
      <c r="BM509" s="17"/>
      <c r="BN509" s="17"/>
      <c r="BO509" s="17"/>
      <c r="BP509" s="17"/>
      <c r="BQ509" s="17"/>
      <c r="BR509" s="17"/>
      <c r="BS509" s="17"/>
      <c r="BT509" s="17"/>
      <c r="BU509" s="17"/>
      <c r="BV509" s="17"/>
      <c r="BW509" s="17"/>
      <c r="BX509" s="17"/>
      <c r="BY509" s="17"/>
      <c r="BZ509" s="17"/>
      <c r="CA509" s="17"/>
      <c r="CB509" s="17"/>
      <c r="CC509" s="17"/>
      <c r="CD509" s="17"/>
      <c r="CE509" s="17"/>
      <c r="CF509" s="17"/>
      <c r="CG509" s="17"/>
      <c r="CH509" s="17"/>
      <c r="CI509" s="17"/>
      <c r="CJ509" s="17"/>
      <c r="CK509" s="17"/>
      <c r="CL509" s="17"/>
      <c r="CM509" s="17"/>
      <c r="CN509" s="17"/>
      <c r="CO509" s="17"/>
      <c r="CP509" s="17"/>
      <c r="CQ509" s="17"/>
      <c r="CR509" s="17"/>
      <c r="CS509" s="17"/>
      <c r="CT509" s="17"/>
      <c r="CU509" s="17"/>
      <c r="CV509" s="17"/>
      <c r="CW509" s="17"/>
      <c r="CX509" s="17"/>
      <c r="CY509" s="17"/>
      <c r="CZ509" s="17"/>
      <c r="DA509" s="17"/>
      <c r="DB509" s="17"/>
      <c r="DC509" s="17"/>
      <c r="DD509" s="17"/>
      <c r="DE509" s="17"/>
      <c r="DF509" s="17"/>
      <c r="DG509" s="17"/>
      <c r="DH509" s="17"/>
      <c r="DI509" s="17"/>
      <c r="DJ509" s="17"/>
      <c r="DK509" s="17"/>
      <c r="DL509" s="17"/>
      <c r="DM509" s="17"/>
      <c r="DN509" s="17"/>
      <c r="DO509" s="17"/>
      <c r="DP509" s="17"/>
      <c r="DQ509" s="17"/>
      <c r="DR509" s="17"/>
      <c r="DS509" s="17"/>
      <c r="DT509" s="17"/>
      <c r="DU509" s="17"/>
      <c r="DV509" s="17"/>
      <c r="DW509" s="17"/>
      <c r="DX509" s="17"/>
      <c r="DY509" s="17"/>
      <c r="DZ509" s="17"/>
      <c r="EA509" s="17"/>
      <c r="EB509" s="17"/>
      <c r="EC509" s="17"/>
    </row>
    <row r="510" spans="1:133" x14ac:dyDescent="0.25">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c r="BB510" s="17"/>
      <c r="BC510" s="17"/>
      <c r="BD510" s="17"/>
      <c r="BE510" s="17"/>
      <c r="BF510" s="17"/>
      <c r="BG510" s="17"/>
      <c r="BH510" s="17"/>
      <c r="BI510" s="17"/>
      <c r="BJ510" s="17"/>
      <c r="BK510" s="17"/>
      <c r="BL510" s="17"/>
      <c r="BM510" s="17"/>
      <c r="BN510" s="17"/>
      <c r="BO510" s="17"/>
      <c r="BP510" s="17"/>
      <c r="BQ510" s="17"/>
      <c r="BR510" s="17"/>
      <c r="BS510" s="17"/>
      <c r="BT510" s="17"/>
      <c r="BU510" s="17"/>
      <c r="BV510" s="17"/>
      <c r="BW510" s="17"/>
      <c r="BX510" s="17"/>
      <c r="BY510" s="17"/>
      <c r="BZ510" s="17"/>
      <c r="CA510" s="17"/>
      <c r="CB510" s="17"/>
      <c r="CC510" s="17"/>
      <c r="CD510" s="17"/>
      <c r="CE510" s="17"/>
      <c r="CF510" s="17"/>
      <c r="CG510" s="17"/>
      <c r="CH510" s="17"/>
      <c r="CI510" s="17"/>
      <c r="CJ510" s="17"/>
      <c r="CK510" s="17"/>
      <c r="CL510" s="17"/>
      <c r="CM510" s="17"/>
      <c r="CN510" s="17"/>
      <c r="CO510" s="17"/>
      <c r="CP510" s="17"/>
      <c r="CQ510" s="17"/>
      <c r="CR510" s="17"/>
      <c r="CS510" s="17"/>
      <c r="CT510" s="17"/>
      <c r="CU510" s="17"/>
      <c r="CV510" s="17"/>
      <c r="CW510" s="17"/>
      <c r="CX510" s="17"/>
      <c r="CY510" s="17"/>
      <c r="CZ510" s="17"/>
      <c r="DA510" s="17"/>
      <c r="DB510" s="17"/>
      <c r="DC510" s="17"/>
      <c r="DD510" s="17"/>
      <c r="DE510" s="17"/>
      <c r="DF510" s="17"/>
      <c r="DG510" s="17"/>
      <c r="DH510" s="17"/>
      <c r="DI510" s="17"/>
      <c r="DJ510" s="17"/>
      <c r="DK510" s="17"/>
      <c r="DL510" s="17"/>
      <c r="DM510" s="17"/>
      <c r="DN510" s="17"/>
      <c r="DO510" s="17"/>
      <c r="DP510" s="17"/>
      <c r="DQ510" s="17"/>
      <c r="DR510" s="17"/>
      <c r="DS510" s="17"/>
      <c r="DT510" s="17"/>
      <c r="DU510" s="17"/>
      <c r="DV510" s="17"/>
      <c r="DW510" s="17"/>
      <c r="DX510" s="17"/>
      <c r="DY510" s="17"/>
      <c r="DZ510" s="17"/>
      <c r="EA510" s="17"/>
      <c r="EB510" s="17"/>
      <c r="EC510" s="17"/>
    </row>
    <row r="511" spans="1:133" x14ac:dyDescent="0.25">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c r="BB511" s="17"/>
      <c r="BC511" s="17"/>
      <c r="BD511" s="17"/>
      <c r="BE511" s="17"/>
      <c r="BF511" s="17"/>
      <c r="BG511" s="17"/>
      <c r="BH511" s="17"/>
      <c r="BI511" s="17"/>
      <c r="BJ511" s="17"/>
      <c r="BK511" s="17"/>
      <c r="BL511" s="17"/>
      <c r="BM511" s="17"/>
      <c r="BN511" s="17"/>
      <c r="BO511" s="17"/>
      <c r="BP511" s="17"/>
      <c r="BQ511" s="17"/>
      <c r="BR511" s="17"/>
      <c r="BS511" s="17"/>
      <c r="BT511" s="17"/>
      <c r="BU511" s="17"/>
      <c r="BV511" s="17"/>
      <c r="BW511" s="17"/>
      <c r="BX511" s="17"/>
      <c r="BY511" s="17"/>
      <c r="BZ511" s="17"/>
      <c r="CA511" s="17"/>
      <c r="CB511" s="17"/>
      <c r="CC511" s="17"/>
      <c r="CD511" s="17"/>
      <c r="CE511" s="17"/>
      <c r="CF511" s="17"/>
      <c r="CG511" s="17"/>
      <c r="CH511" s="17"/>
      <c r="CI511" s="17"/>
      <c r="CJ511" s="17"/>
      <c r="CK511" s="17"/>
      <c r="CL511" s="17"/>
      <c r="CM511" s="17"/>
      <c r="CN511" s="17"/>
      <c r="CO511" s="17"/>
      <c r="CP511" s="17"/>
      <c r="CQ511" s="17"/>
      <c r="CR511" s="17"/>
      <c r="CS511" s="17"/>
      <c r="CT511" s="17"/>
      <c r="CU511" s="17"/>
      <c r="CV511" s="17"/>
      <c r="CW511" s="17"/>
      <c r="CX511" s="17"/>
      <c r="CY511" s="17"/>
      <c r="CZ511" s="17"/>
      <c r="DA511" s="17"/>
      <c r="DB511" s="17"/>
      <c r="DC511" s="17"/>
      <c r="DD511" s="17"/>
      <c r="DE511" s="17"/>
      <c r="DF511" s="17"/>
      <c r="DG511" s="17"/>
      <c r="DH511" s="17"/>
      <c r="DI511" s="17"/>
      <c r="DJ511" s="17"/>
      <c r="DK511" s="17"/>
      <c r="DL511" s="17"/>
      <c r="DM511" s="17"/>
      <c r="DN511" s="17"/>
      <c r="DO511" s="17"/>
      <c r="DP511" s="17"/>
      <c r="DQ511" s="17"/>
      <c r="DR511" s="17"/>
      <c r="DS511" s="17"/>
      <c r="DT511" s="17"/>
      <c r="DU511" s="17"/>
      <c r="DV511" s="17"/>
      <c r="DW511" s="17"/>
      <c r="DX511" s="17"/>
      <c r="DY511" s="17"/>
      <c r="DZ511" s="17"/>
      <c r="EA511" s="17"/>
      <c r="EB511" s="17"/>
      <c r="EC511" s="17"/>
    </row>
    <row r="512" spans="1:133" x14ac:dyDescent="0.25">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c r="BC512" s="17"/>
      <c r="BD512" s="17"/>
      <c r="BE512" s="17"/>
      <c r="BF512" s="17"/>
      <c r="BG512" s="17"/>
      <c r="BH512" s="17"/>
      <c r="BI512" s="17"/>
      <c r="BJ512" s="17"/>
      <c r="BK512" s="17"/>
      <c r="BL512" s="17"/>
      <c r="BM512" s="17"/>
      <c r="BN512" s="17"/>
      <c r="BO512" s="17"/>
      <c r="BP512" s="17"/>
      <c r="BQ512" s="17"/>
      <c r="BR512" s="17"/>
      <c r="BS512" s="17"/>
      <c r="BT512" s="17"/>
      <c r="BU512" s="17"/>
      <c r="BV512" s="17"/>
      <c r="BW512" s="17"/>
      <c r="BX512" s="17"/>
      <c r="BY512" s="17"/>
      <c r="BZ512" s="17"/>
      <c r="CA512" s="17"/>
      <c r="CB512" s="17"/>
      <c r="CC512" s="17"/>
      <c r="CD512" s="17"/>
      <c r="CE512" s="17"/>
      <c r="CF512" s="17"/>
      <c r="CG512" s="17"/>
      <c r="CH512" s="17"/>
      <c r="CI512" s="17"/>
      <c r="CJ512" s="17"/>
      <c r="CK512" s="17"/>
      <c r="CL512" s="17"/>
      <c r="CM512" s="17"/>
      <c r="CN512" s="17"/>
      <c r="CO512" s="17"/>
      <c r="CP512" s="17"/>
      <c r="CQ512" s="17"/>
      <c r="CR512" s="17"/>
      <c r="CS512" s="17"/>
      <c r="CT512" s="17"/>
      <c r="CU512" s="17"/>
      <c r="CV512" s="17"/>
      <c r="CW512" s="17"/>
      <c r="CX512" s="17"/>
      <c r="CY512" s="17"/>
      <c r="CZ512" s="17"/>
      <c r="DA512" s="17"/>
      <c r="DB512" s="17"/>
      <c r="DC512" s="17"/>
      <c r="DD512" s="17"/>
      <c r="DE512" s="17"/>
      <c r="DF512" s="17"/>
      <c r="DG512" s="17"/>
      <c r="DH512" s="17"/>
      <c r="DI512" s="17"/>
      <c r="DJ512" s="17"/>
      <c r="DK512" s="17"/>
      <c r="DL512" s="17"/>
      <c r="DM512" s="17"/>
      <c r="DN512" s="17"/>
      <c r="DO512" s="17"/>
      <c r="DP512" s="17"/>
      <c r="DQ512" s="17"/>
      <c r="DR512" s="17"/>
      <c r="DS512" s="17"/>
      <c r="DT512" s="17"/>
      <c r="DU512" s="17"/>
      <c r="DV512" s="17"/>
      <c r="DW512" s="17"/>
      <c r="DX512" s="17"/>
      <c r="DY512" s="17"/>
      <c r="DZ512" s="17"/>
      <c r="EA512" s="17"/>
      <c r="EB512" s="17"/>
      <c r="EC512" s="17"/>
    </row>
    <row r="513" spans="1:133" x14ac:dyDescent="0.25">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c r="BC513" s="17"/>
      <c r="BD513" s="17"/>
      <c r="BE513" s="17"/>
      <c r="BF513" s="17"/>
      <c r="BG513" s="17"/>
      <c r="BH513" s="17"/>
      <c r="BI513" s="17"/>
      <c r="BJ513" s="17"/>
      <c r="BK513" s="17"/>
      <c r="BL513" s="17"/>
      <c r="BM513" s="17"/>
      <c r="BN513" s="17"/>
      <c r="BO513" s="17"/>
      <c r="BP513" s="17"/>
      <c r="BQ513" s="17"/>
      <c r="BR513" s="17"/>
      <c r="BS513" s="17"/>
      <c r="BT513" s="17"/>
      <c r="BU513" s="17"/>
      <c r="BV513" s="17"/>
      <c r="BW513" s="17"/>
      <c r="BX513" s="17"/>
      <c r="BY513" s="17"/>
      <c r="BZ513" s="17"/>
      <c r="CA513" s="17"/>
      <c r="CB513" s="17"/>
      <c r="CC513" s="17"/>
      <c r="CD513" s="17"/>
      <c r="CE513" s="17"/>
      <c r="CF513" s="17"/>
      <c r="CG513" s="17"/>
      <c r="CH513" s="17"/>
      <c r="CI513" s="17"/>
      <c r="CJ513" s="17"/>
      <c r="CK513" s="17"/>
      <c r="CL513" s="17"/>
      <c r="CM513" s="17"/>
      <c r="CN513" s="17"/>
      <c r="CO513" s="17"/>
      <c r="CP513" s="17"/>
      <c r="CQ513" s="17"/>
      <c r="CR513" s="17"/>
      <c r="CS513" s="17"/>
      <c r="CT513" s="17"/>
      <c r="CU513" s="17"/>
      <c r="CV513" s="17"/>
      <c r="CW513" s="17"/>
      <c r="CX513" s="17"/>
      <c r="CY513" s="17"/>
      <c r="CZ513" s="17"/>
      <c r="DA513" s="17"/>
      <c r="DB513" s="17"/>
      <c r="DC513" s="17"/>
      <c r="DD513" s="17"/>
      <c r="DE513" s="17"/>
      <c r="DF513" s="17"/>
      <c r="DG513" s="17"/>
      <c r="DH513" s="17"/>
      <c r="DI513" s="17"/>
      <c r="DJ513" s="17"/>
      <c r="DK513" s="17"/>
      <c r="DL513" s="17"/>
      <c r="DM513" s="17"/>
      <c r="DN513" s="17"/>
      <c r="DO513" s="17"/>
      <c r="DP513" s="17"/>
      <c r="DQ513" s="17"/>
      <c r="DR513" s="17"/>
      <c r="DS513" s="17"/>
      <c r="DT513" s="17"/>
      <c r="DU513" s="17"/>
      <c r="DV513" s="17"/>
      <c r="DW513" s="17"/>
      <c r="DX513" s="17"/>
      <c r="DY513" s="17"/>
      <c r="DZ513" s="17"/>
      <c r="EA513" s="17"/>
      <c r="EB513" s="17"/>
      <c r="EC513" s="17"/>
    </row>
    <row r="514" spans="1:133" x14ac:dyDescent="0.25">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7"/>
      <c r="BD514" s="17"/>
      <c r="BE514" s="17"/>
      <c r="BF514" s="17"/>
      <c r="BG514" s="17"/>
      <c r="BH514" s="17"/>
      <c r="BI514" s="17"/>
      <c r="BJ514" s="17"/>
      <c r="BK514" s="17"/>
      <c r="BL514" s="17"/>
      <c r="BM514" s="17"/>
      <c r="BN514" s="17"/>
      <c r="BO514" s="17"/>
      <c r="BP514" s="17"/>
      <c r="BQ514" s="17"/>
      <c r="BR514" s="17"/>
      <c r="BS514" s="17"/>
      <c r="BT514" s="17"/>
      <c r="BU514" s="17"/>
      <c r="BV514" s="17"/>
      <c r="BW514" s="17"/>
      <c r="BX514" s="17"/>
      <c r="BY514" s="17"/>
      <c r="BZ514" s="17"/>
      <c r="CA514" s="17"/>
      <c r="CB514" s="17"/>
      <c r="CC514" s="17"/>
      <c r="CD514" s="17"/>
      <c r="CE514" s="17"/>
      <c r="CF514" s="17"/>
      <c r="CG514" s="17"/>
      <c r="CH514" s="17"/>
      <c r="CI514" s="17"/>
      <c r="CJ514" s="17"/>
      <c r="CK514" s="17"/>
      <c r="CL514" s="17"/>
      <c r="CM514" s="17"/>
      <c r="CN514" s="17"/>
      <c r="CO514" s="17"/>
      <c r="CP514" s="17"/>
      <c r="CQ514" s="17"/>
      <c r="CR514" s="17"/>
      <c r="CS514" s="17"/>
      <c r="CT514" s="17"/>
      <c r="CU514" s="17"/>
      <c r="CV514" s="17"/>
      <c r="CW514" s="17"/>
      <c r="CX514" s="17"/>
      <c r="CY514" s="17"/>
      <c r="CZ514" s="17"/>
      <c r="DA514" s="17"/>
      <c r="DB514" s="17"/>
      <c r="DC514" s="17"/>
      <c r="DD514" s="17"/>
      <c r="DE514" s="17"/>
      <c r="DF514" s="17"/>
      <c r="DG514" s="17"/>
      <c r="DH514" s="17"/>
      <c r="DI514" s="17"/>
      <c r="DJ514" s="17"/>
      <c r="DK514" s="17"/>
      <c r="DL514" s="17"/>
      <c r="DM514" s="17"/>
      <c r="DN514" s="17"/>
      <c r="DO514" s="17"/>
      <c r="DP514" s="17"/>
      <c r="DQ514" s="17"/>
      <c r="DR514" s="17"/>
      <c r="DS514" s="17"/>
      <c r="DT514" s="17"/>
      <c r="DU514" s="17"/>
      <c r="DV514" s="17"/>
      <c r="DW514" s="17"/>
      <c r="DX514" s="17"/>
      <c r="DY514" s="17"/>
      <c r="DZ514" s="17"/>
      <c r="EA514" s="17"/>
      <c r="EB514" s="17"/>
      <c r="EC514" s="17"/>
    </row>
    <row r="515" spans="1:133" x14ac:dyDescent="0.2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c r="BD515" s="17"/>
      <c r="BE515" s="17"/>
      <c r="BF515" s="17"/>
      <c r="BG515" s="17"/>
      <c r="BH515" s="17"/>
      <c r="BI515" s="17"/>
      <c r="BJ515" s="17"/>
      <c r="BK515" s="17"/>
      <c r="BL515" s="17"/>
      <c r="BM515" s="17"/>
      <c r="BN515" s="17"/>
      <c r="BO515" s="17"/>
      <c r="BP515" s="17"/>
      <c r="BQ515" s="17"/>
      <c r="BR515" s="17"/>
      <c r="BS515" s="17"/>
      <c r="BT515" s="17"/>
      <c r="BU515" s="17"/>
      <c r="BV515" s="17"/>
      <c r="BW515" s="17"/>
      <c r="BX515" s="17"/>
      <c r="BY515" s="17"/>
      <c r="BZ515" s="17"/>
      <c r="CA515" s="17"/>
      <c r="CB515" s="17"/>
      <c r="CC515" s="17"/>
      <c r="CD515" s="17"/>
      <c r="CE515" s="17"/>
      <c r="CF515" s="17"/>
      <c r="CG515" s="17"/>
      <c r="CH515" s="17"/>
      <c r="CI515" s="17"/>
      <c r="CJ515" s="17"/>
      <c r="CK515" s="17"/>
      <c r="CL515" s="17"/>
      <c r="CM515" s="17"/>
      <c r="CN515" s="17"/>
      <c r="CO515" s="17"/>
      <c r="CP515" s="17"/>
      <c r="CQ515" s="17"/>
      <c r="CR515" s="17"/>
      <c r="CS515" s="17"/>
      <c r="CT515" s="17"/>
      <c r="CU515" s="17"/>
      <c r="CV515" s="17"/>
      <c r="CW515" s="17"/>
      <c r="CX515" s="17"/>
      <c r="CY515" s="17"/>
      <c r="CZ515" s="17"/>
      <c r="DA515" s="17"/>
      <c r="DB515" s="17"/>
      <c r="DC515" s="17"/>
      <c r="DD515" s="17"/>
      <c r="DE515" s="17"/>
      <c r="DF515" s="17"/>
      <c r="DG515" s="17"/>
      <c r="DH515" s="17"/>
      <c r="DI515" s="17"/>
      <c r="DJ515" s="17"/>
      <c r="DK515" s="17"/>
      <c r="DL515" s="17"/>
      <c r="DM515" s="17"/>
      <c r="DN515" s="17"/>
      <c r="DO515" s="17"/>
      <c r="DP515" s="17"/>
      <c r="DQ515" s="17"/>
      <c r="DR515" s="17"/>
      <c r="DS515" s="17"/>
      <c r="DT515" s="17"/>
      <c r="DU515" s="17"/>
      <c r="DV515" s="17"/>
      <c r="DW515" s="17"/>
      <c r="DX515" s="17"/>
      <c r="DY515" s="17"/>
      <c r="DZ515" s="17"/>
      <c r="EA515" s="17"/>
      <c r="EB515" s="17"/>
      <c r="EC515" s="17"/>
    </row>
    <row r="516" spans="1:133" x14ac:dyDescent="0.25">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c r="BB516" s="17"/>
      <c r="BC516" s="17"/>
      <c r="BD516" s="17"/>
      <c r="BE516" s="17"/>
      <c r="BF516" s="17"/>
      <c r="BG516" s="17"/>
      <c r="BH516" s="17"/>
      <c r="BI516" s="17"/>
      <c r="BJ516" s="17"/>
      <c r="BK516" s="17"/>
      <c r="BL516" s="17"/>
      <c r="BM516" s="17"/>
      <c r="BN516" s="17"/>
      <c r="BO516" s="17"/>
      <c r="BP516" s="17"/>
      <c r="BQ516" s="17"/>
      <c r="BR516" s="17"/>
      <c r="BS516" s="17"/>
      <c r="BT516" s="17"/>
      <c r="BU516" s="17"/>
      <c r="BV516" s="17"/>
      <c r="BW516" s="17"/>
      <c r="BX516" s="17"/>
      <c r="BY516" s="17"/>
      <c r="BZ516" s="17"/>
      <c r="CA516" s="17"/>
      <c r="CB516" s="17"/>
      <c r="CC516" s="17"/>
      <c r="CD516" s="17"/>
      <c r="CE516" s="17"/>
      <c r="CF516" s="17"/>
      <c r="CG516" s="17"/>
      <c r="CH516" s="17"/>
      <c r="CI516" s="17"/>
      <c r="CJ516" s="17"/>
      <c r="CK516" s="17"/>
      <c r="CL516" s="17"/>
      <c r="CM516" s="17"/>
      <c r="CN516" s="17"/>
      <c r="CO516" s="17"/>
      <c r="CP516" s="17"/>
      <c r="CQ516" s="17"/>
      <c r="CR516" s="17"/>
      <c r="CS516" s="17"/>
      <c r="CT516" s="17"/>
      <c r="CU516" s="17"/>
      <c r="CV516" s="17"/>
      <c r="CW516" s="17"/>
      <c r="CX516" s="17"/>
      <c r="CY516" s="17"/>
      <c r="CZ516" s="17"/>
      <c r="DA516" s="17"/>
      <c r="DB516" s="17"/>
      <c r="DC516" s="17"/>
      <c r="DD516" s="17"/>
      <c r="DE516" s="17"/>
      <c r="DF516" s="17"/>
      <c r="DG516" s="17"/>
      <c r="DH516" s="17"/>
      <c r="DI516" s="17"/>
      <c r="DJ516" s="17"/>
      <c r="DK516" s="17"/>
      <c r="DL516" s="17"/>
      <c r="DM516" s="17"/>
      <c r="DN516" s="17"/>
      <c r="DO516" s="17"/>
      <c r="DP516" s="17"/>
      <c r="DQ516" s="17"/>
      <c r="DR516" s="17"/>
      <c r="DS516" s="17"/>
      <c r="DT516" s="17"/>
      <c r="DU516" s="17"/>
      <c r="DV516" s="17"/>
      <c r="DW516" s="17"/>
      <c r="DX516" s="17"/>
      <c r="DY516" s="17"/>
      <c r="DZ516" s="17"/>
      <c r="EA516" s="17"/>
      <c r="EB516" s="17"/>
      <c r="EC516" s="17"/>
    </row>
    <row r="517" spans="1:133" x14ac:dyDescent="0.25">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c r="BC517" s="17"/>
      <c r="BD517" s="17"/>
      <c r="BE517" s="17"/>
      <c r="BF517" s="17"/>
      <c r="BG517" s="17"/>
      <c r="BH517" s="17"/>
      <c r="BI517" s="17"/>
      <c r="BJ517" s="17"/>
      <c r="BK517" s="17"/>
      <c r="BL517" s="17"/>
      <c r="BM517" s="17"/>
      <c r="BN517" s="17"/>
      <c r="BO517" s="17"/>
      <c r="BP517" s="17"/>
      <c r="BQ517" s="17"/>
      <c r="BR517" s="17"/>
      <c r="BS517" s="17"/>
      <c r="BT517" s="17"/>
      <c r="BU517" s="17"/>
      <c r="BV517" s="17"/>
      <c r="BW517" s="17"/>
      <c r="BX517" s="17"/>
      <c r="BY517" s="17"/>
      <c r="BZ517" s="17"/>
      <c r="CA517" s="17"/>
      <c r="CB517" s="17"/>
      <c r="CC517" s="17"/>
      <c r="CD517" s="17"/>
      <c r="CE517" s="17"/>
      <c r="CF517" s="17"/>
      <c r="CG517" s="17"/>
      <c r="CH517" s="17"/>
      <c r="CI517" s="17"/>
      <c r="CJ517" s="17"/>
      <c r="CK517" s="17"/>
      <c r="CL517" s="17"/>
      <c r="CM517" s="17"/>
      <c r="CN517" s="17"/>
      <c r="CO517" s="17"/>
      <c r="CP517" s="17"/>
      <c r="CQ517" s="17"/>
      <c r="CR517" s="17"/>
      <c r="CS517" s="17"/>
      <c r="CT517" s="17"/>
      <c r="CU517" s="17"/>
      <c r="CV517" s="17"/>
      <c r="CW517" s="17"/>
      <c r="CX517" s="17"/>
      <c r="CY517" s="17"/>
      <c r="CZ517" s="17"/>
      <c r="DA517" s="17"/>
      <c r="DB517" s="17"/>
      <c r="DC517" s="17"/>
      <c r="DD517" s="17"/>
      <c r="DE517" s="17"/>
      <c r="DF517" s="17"/>
      <c r="DG517" s="17"/>
      <c r="DH517" s="17"/>
      <c r="DI517" s="17"/>
      <c r="DJ517" s="17"/>
      <c r="DK517" s="17"/>
      <c r="DL517" s="17"/>
      <c r="DM517" s="17"/>
      <c r="DN517" s="17"/>
      <c r="DO517" s="17"/>
      <c r="DP517" s="17"/>
      <c r="DQ517" s="17"/>
      <c r="DR517" s="17"/>
      <c r="DS517" s="17"/>
      <c r="DT517" s="17"/>
      <c r="DU517" s="17"/>
      <c r="DV517" s="17"/>
      <c r="DW517" s="17"/>
      <c r="DX517" s="17"/>
      <c r="DY517" s="17"/>
      <c r="DZ517" s="17"/>
      <c r="EA517" s="17"/>
      <c r="EB517" s="17"/>
      <c r="EC517" s="17"/>
    </row>
    <row r="518" spans="1:133" x14ac:dyDescent="0.25">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c r="BC518" s="17"/>
      <c r="BD518" s="17"/>
      <c r="BE518" s="17"/>
      <c r="BF518" s="17"/>
      <c r="BG518" s="17"/>
      <c r="BH518" s="17"/>
      <c r="BI518" s="17"/>
      <c r="BJ518" s="17"/>
      <c r="BK518" s="17"/>
      <c r="BL518" s="17"/>
      <c r="BM518" s="17"/>
      <c r="BN518" s="17"/>
      <c r="BO518" s="17"/>
      <c r="BP518" s="17"/>
      <c r="BQ518" s="17"/>
      <c r="BR518" s="17"/>
      <c r="BS518" s="17"/>
      <c r="BT518" s="17"/>
      <c r="BU518" s="17"/>
      <c r="BV518" s="17"/>
      <c r="BW518" s="17"/>
      <c r="BX518" s="17"/>
      <c r="BY518" s="17"/>
      <c r="BZ518" s="17"/>
      <c r="CA518" s="17"/>
      <c r="CB518" s="17"/>
      <c r="CC518" s="17"/>
      <c r="CD518" s="17"/>
      <c r="CE518" s="17"/>
      <c r="CF518" s="17"/>
      <c r="CG518" s="17"/>
      <c r="CH518" s="17"/>
      <c r="CI518" s="17"/>
      <c r="CJ518" s="17"/>
      <c r="CK518" s="17"/>
      <c r="CL518" s="17"/>
      <c r="CM518" s="17"/>
      <c r="CN518" s="17"/>
      <c r="CO518" s="17"/>
      <c r="CP518" s="17"/>
      <c r="CQ518" s="17"/>
      <c r="CR518" s="17"/>
      <c r="CS518" s="17"/>
      <c r="CT518" s="17"/>
      <c r="CU518" s="17"/>
      <c r="CV518" s="17"/>
      <c r="CW518" s="17"/>
      <c r="CX518" s="17"/>
      <c r="CY518" s="17"/>
      <c r="CZ518" s="17"/>
      <c r="DA518" s="17"/>
      <c r="DB518" s="17"/>
      <c r="DC518" s="17"/>
      <c r="DD518" s="17"/>
      <c r="DE518" s="17"/>
      <c r="DF518" s="17"/>
      <c r="DG518" s="17"/>
      <c r="DH518" s="17"/>
      <c r="DI518" s="17"/>
      <c r="DJ518" s="17"/>
      <c r="DK518" s="17"/>
      <c r="DL518" s="17"/>
      <c r="DM518" s="17"/>
      <c r="DN518" s="17"/>
      <c r="DO518" s="17"/>
      <c r="DP518" s="17"/>
      <c r="DQ518" s="17"/>
      <c r="DR518" s="17"/>
      <c r="DS518" s="17"/>
      <c r="DT518" s="17"/>
      <c r="DU518" s="17"/>
      <c r="DV518" s="17"/>
      <c r="DW518" s="17"/>
      <c r="DX518" s="17"/>
      <c r="DY518" s="17"/>
      <c r="DZ518" s="17"/>
      <c r="EA518" s="17"/>
      <c r="EB518" s="17"/>
      <c r="EC518" s="17"/>
    </row>
    <row r="519" spans="1:133" x14ac:dyDescent="0.25">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c r="BC519" s="17"/>
      <c r="BD519" s="17"/>
      <c r="BE519" s="17"/>
      <c r="BF519" s="17"/>
      <c r="BG519" s="17"/>
      <c r="BH519" s="17"/>
      <c r="BI519" s="17"/>
      <c r="BJ519" s="17"/>
      <c r="BK519" s="17"/>
      <c r="BL519" s="17"/>
      <c r="BM519" s="17"/>
      <c r="BN519" s="17"/>
      <c r="BO519" s="17"/>
      <c r="BP519" s="17"/>
      <c r="BQ519" s="17"/>
      <c r="BR519" s="17"/>
      <c r="BS519" s="17"/>
      <c r="BT519" s="17"/>
      <c r="BU519" s="17"/>
      <c r="BV519" s="17"/>
      <c r="BW519" s="17"/>
      <c r="BX519" s="17"/>
      <c r="BY519" s="17"/>
      <c r="BZ519" s="17"/>
      <c r="CA519" s="17"/>
      <c r="CB519" s="17"/>
      <c r="CC519" s="17"/>
      <c r="CD519" s="17"/>
      <c r="CE519" s="17"/>
      <c r="CF519" s="17"/>
      <c r="CG519" s="17"/>
      <c r="CH519" s="17"/>
      <c r="CI519" s="17"/>
      <c r="CJ519" s="17"/>
      <c r="CK519" s="17"/>
      <c r="CL519" s="17"/>
      <c r="CM519" s="17"/>
      <c r="CN519" s="17"/>
      <c r="CO519" s="17"/>
      <c r="CP519" s="17"/>
      <c r="CQ519" s="17"/>
      <c r="CR519" s="17"/>
      <c r="CS519" s="17"/>
      <c r="CT519" s="17"/>
      <c r="CU519" s="17"/>
      <c r="CV519" s="17"/>
      <c r="CW519" s="17"/>
      <c r="CX519" s="17"/>
      <c r="CY519" s="17"/>
      <c r="CZ519" s="17"/>
      <c r="DA519" s="17"/>
      <c r="DB519" s="17"/>
      <c r="DC519" s="17"/>
      <c r="DD519" s="17"/>
      <c r="DE519" s="17"/>
      <c r="DF519" s="17"/>
      <c r="DG519" s="17"/>
      <c r="DH519" s="17"/>
      <c r="DI519" s="17"/>
      <c r="DJ519" s="17"/>
      <c r="DK519" s="17"/>
      <c r="DL519" s="17"/>
      <c r="DM519" s="17"/>
      <c r="DN519" s="17"/>
      <c r="DO519" s="17"/>
      <c r="DP519" s="17"/>
      <c r="DQ519" s="17"/>
      <c r="DR519" s="17"/>
      <c r="DS519" s="17"/>
      <c r="DT519" s="17"/>
      <c r="DU519" s="17"/>
      <c r="DV519" s="17"/>
      <c r="DW519" s="17"/>
      <c r="DX519" s="17"/>
      <c r="DY519" s="17"/>
      <c r="DZ519" s="17"/>
      <c r="EA519" s="17"/>
      <c r="EB519" s="17"/>
      <c r="EC519" s="17"/>
    </row>
    <row r="520" spans="1:133" x14ac:dyDescent="0.25">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c r="BC520" s="17"/>
      <c r="BD520" s="17"/>
      <c r="BE520" s="17"/>
      <c r="BF520" s="17"/>
      <c r="BG520" s="17"/>
      <c r="BH520" s="17"/>
      <c r="BI520" s="17"/>
      <c r="BJ520" s="17"/>
      <c r="BK520" s="17"/>
      <c r="BL520" s="17"/>
      <c r="BM520" s="17"/>
      <c r="BN520" s="17"/>
      <c r="BO520" s="17"/>
      <c r="BP520" s="17"/>
      <c r="BQ520" s="17"/>
      <c r="BR520" s="17"/>
      <c r="BS520" s="17"/>
      <c r="BT520" s="17"/>
      <c r="BU520" s="17"/>
      <c r="BV520" s="17"/>
      <c r="BW520" s="17"/>
      <c r="BX520" s="17"/>
      <c r="BY520" s="17"/>
      <c r="BZ520" s="17"/>
      <c r="CA520" s="17"/>
      <c r="CB520" s="17"/>
      <c r="CC520" s="17"/>
      <c r="CD520" s="17"/>
      <c r="CE520" s="17"/>
      <c r="CF520" s="17"/>
      <c r="CG520" s="17"/>
      <c r="CH520" s="17"/>
      <c r="CI520" s="17"/>
      <c r="CJ520" s="17"/>
      <c r="CK520" s="17"/>
      <c r="CL520" s="17"/>
      <c r="CM520" s="17"/>
      <c r="CN520" s="17"/>
      <c r="CO520" s="17"/>
      <c r="CP520" s="17"/>
      <c r="CQ520" s="17"/>
      <c r="CR520" s="17"/>
      <c r="CS520" s="17"/>
      <c r="CT520" s="17"/>
      <c r="CU520" s="17"/>
      <c r="CV520" s="17"/>
      <c r="CW520" s="17"/>
      <c r="CX520" s="17"/>
      <c r="CY520" s="17"/>
      <c r="CZ520" s="17"/>
      <c r="DA520" s="17"/>
      <c r="DB520" s="17"/>
      <c r="DC520" s="17"/>
      <c r="DD520" s="17"/>
      <c r="DE520" s="17"/>
      <c r="DF520" s="17"/>
      <c r="DG520" s="17"/>
      <c r="DH520" s="17"/>
      <c r="DI520" s="17"/>
      <c r="DJ520" s="17"/>
      <c r="DK520" s="17"/>
      <c r="DL520" s="17"/>
      <c r="DM520" s="17"/>
      <c r="DN520" s="17"/>
      <c r="DO520" s="17"/>
      <c r="DP520" s="17"/>
      <c r="DQ520" s="17"/>
      <c r="DR520" s="17"/>
      <c r="DS520" s="17"/>
      <c r="DT520" s="17"/>
      <c r="DU520" s="17"/>
      <c r="DV520" s="17"/>
      <c r="DW520" s="17"/>
      <c r="DX520" s="17"/>
      <c r="DY520" s="17"/>
      <c r="DZ520" s="17"/>
      <c r="EA520" s="17"/>
      <c r="EB520" s="17"/>
      <c r="EC520" s="17"/>
    </row>
    <row r="521" spans="1:133" x14ac:dyDescent="0.25">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7"/>
      <c r="BD521" s="17"/>
      <c r="BE521" s="17"/>
      <c r="BF521" s="17"/>
      <c r="BG521" s="17"/>
      <c r="BH521" s="17"/>
      <c r="BI521" s="17"/>
      <c r="BJ521" s="17"/>
      <c r="BK521" s="17"/>
      <c r="BL521" s="17"/>
      <c r="BM521" s="17"/>
      <c r="BN521" s="17"/>
      <c r="BO521" s="17"/>
      <c r="BP521" s="17"/>
      <c r="BQ521" s="17"/>
      <c r="BR521" s="17"/>
      <c r="BS521" s="17"/>
      <c r="BT521" s="17"/>
      <c r="BU521" s="17"/>
      <c r="BV521" s="17"/>
      <c r="BW521" s="17"/>
      <c r="BX521" s="17"/>
      <c r="BY521" s="17"/>
      <c r="BZ521" s="17"/>
      <c r="CA521" s="17"/>
      <c r="CB521" s="17"/>
      <c r="CC521" s="17"/>
      <c r="CD521" s="17"/>
      <c r="CE521" s="17"/>
      <c r="CF521" s="17"/>
      <c r="CG521" s="17"/>
      <c r="CH521" s="17"/>
      <c r="CI521" s="17"/>
      <c r="CJ521" s="17"/>
      <c r="CK521" s="17"/>
      <c r="CL521" s="17"/>
      <c r="CM521" s="17"/>
      <c r="CN521" s="17"/>
      <c r="CO521" s="17"/>
      <c r="CP521" s="17"/>
      <c r="CQ521" s="17"/>
      <c r="CR521" s="17"/>
      <c r="CS521" s="17"/>
      <c r="CT521" s="17"/>
      <c r="CU521" s="17"/>
      <c r="CV521" s="17"/>
      <c r="CW521" s="17"/>
      <c r="CX521" s="17"/>
      <c r="CY521" s="17"/>
      <c r="CZ521" s="17"/>
      <c r="DA521" s="17"/>
      <c r="DB521" s="17"/>
      <c r="DC521" s="17"/>
      <c r="DD521" s="17"/>
      <c r="DE521" s="17"/>
      <c r="DF521" s="17"/>
      <c r="DG521" s="17"/>
      <c r="DH521" s="17"/>
      <c r="DI521" s="17"/>
      <c r="DJ521" s="17"/>
      <c r="DK521" s="17"/>
      <c r="DL521" s="17"/>
      <c r="DM521" s="17"/>
      <c r="DN521" s="17"/>
      <c r="DO521" s="17"/>
      <c r="DP521" s="17"/>
      <c r="DQ521" s="17"/>
      <c r="DR521" s="17"/>
      <c r="DS521" s="17"/>
      <c r="DT521" s="17"/>
      <c r="DU521" s="17"/>
      <c r="DV521" s="17"/>
      <c r="DW521" s="17"/>
      <c r="DX521" s="17"/>
      <c r="DY521" s="17"/>
      <c r="DZ521" s="17"/>
      <c r="EA521" s="17"/>
      <c r="EB521" s="17"/>
      <c r="EC521" s="17"/>
    </row>
    <row r="522" spans="1:133" x14ac:dyDescent="0.25">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c r="BC522" s="17"/>
      <c r="BD522" s="17"/>
      <c r="BE522" s="17"/>
      <c r="BF522" s="17"/>
      <c r="BG522" s="17"/>
      <c r="BH522" s="17"/>
      <c r="BI522" s="17"/>
      <c r="BJ522" s="17"/>
      <c r="BK522" s="17"/>
      <c r="BL522" s="17"/>
      <c r="BM522" s="17"/>
      <c r="BN522" s="17"/>
      <c r="BO522" s="17"/>
      <c r="BP522" s="17"/>
      <c r="BQ522" s="17"/>
      <c r="BR522" s="17"/>
      <c r="BS522" s="17"/>
      <c r="BT522" s="17"/>
      <c r="BU522" s="17"/>
      <c r="BV522" s="17"/>
      <c r="BW522" s="17"/>
      <c r="BX522" s="17"/>
      <c r="BY522" s="17"/>
      <c r="BZ522" s="17"/>
      <c r="CA522" s="17"/>
      <c r="CB522" s="17"/>
      <c r="CC522" s="17"/>
      <c r="CD522" s="17"/>
      <c r="CE522" s="17"/>
      <c r="CF522" s="17"/>
      <c r="CG522" s="17"/>
      <c r="CH522" s="17"/>
      <c r="CI522" s="17"/>
      <c r="CJ522" s="17"/>
      <c r="CK522" s="17"/>
      <c r="CL522" s="17"/>
      <c r="CM522" s="17"/>
      <c r="CN522" s="17"/>
      <c r="CO522" s="17"/>
      <c r="CP522" s="17"/>
      <c r="CQ522" s="17"/>
      <c r="CR522" s="17"/>
      <c r="CS522" s="17"/>
      <c r="CT522" s="17"/>
      <c r="CU522" s="17"/>
      <c r="CV522" s="17"/>
      <c r="CW522" s="17"/>
      <c r="CX522" s="17"/>
      <c r="CY522" s="17"/>
      <c r="CZ522" s="17"/>
      <c r="DA522" s="17"/>
      <c r="DB522" s="17"/>
      <c r="DC522" s="17"/>
      <c r="DD522" s="17"/>
      <c r="DE522" s="17"/>
      <c r="DF522" s="17"/>
      <c r="DG522" s="17"/>
      <c r="DH522" s="17"/>
      <c r="DI522" s="17"/>
      <c r="DJ522" s="17"/>
      <c r="DK522" s="17"/>
      <c r="DL522" s="17"/>
      <c r="DM522" s="17"/>
      <c r="DN522" s="17"/>
      <c r="DO522" s="17"/>
      <c r="DP522" s="17"/>
      <c r="DQ522" s="17"/>
      <c r="DR522" s="17"/>
      <c r="DS522" s="17"/>
      <c r="DT522" s="17"/>
      <c r="DU522" s="17"/>
      <c r="DV522" s="17"/>
      <c r="DW522" s="17"/>
      <c r="DX522" s="17"/>
      <c r="DY522" s="17"/>
      <c r="DZ522" s="17"/>
      <c r="EA522" s="17"/>
      <c r="EB522" s="17"/>
      <c r="EC522" s="17"/>
    </row>
    <row r="523" spans="1:133" x14ac:dyDescent="0.25">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c r="BC523" s="17"/>
      <c r="BD523" s="17"/>
      <c r="BE523" s="17"/>
      <c r="BF523" s="17"/>
      <c r="BG523" s="17"/>
      <c r="BH523" s="17"/>
      <c r="BI523" s="17"/>
      <c r="BJ523" s="17"/>
      <c r="BK523" s="17"/>
      <c r="BL523" s="17"/>
      <c r="BM523" s="17"/>
      <c r="BN523" s="17"/>
      <c r="BO523" s="17"/>
      <c r="BP523" s="17"/>
      <c r="BQ523" s="17"/>
      <c r="BR523" s="17"/>
      <c r="BS523" s="17"/>
      <c r="BT523" s="17"/>
      <c r="BU523" s="17"/>
      <c r="BV523" s="17"/>
      <c r="BW523" s="17"/>
      <c r="BX523" s="17"/>
      <c r="BY523" s="17"/>
      <c r="BZ523" s="17"/>
      <c r="CA523" s="17"/>
      <c r="CB523" s="17"/>
      <c r="CC523" s="17"/>
      <c r="CD523" s="17"/>
      <c r="CE523" s="17"/>
      <c r="CF523" s="17"/>
      <c r="CG523" s="17"/>
      <c r="CH523" s="17"/>
      <c r="CI523" s="17"/>
      <c r="CJ523" s="17"/>
      <c r="CK523" s="17"/>
      <c r="CL523" s="17"/>
      <c r="CM523" s="17"/>
      <c r="CN523" s="17"/>
      <c r="CO523" s="17"/>
      <c r="CP523" s="17"/>
      <c r="CQ523" s="17"/>
      <c r="CR523" s="17"/>
      <c r="CS523" s="17"/>
      <c r="CT523" s="17"/>
      <c r="CU523" s="17"/>
      <c r="CV523" s="17"/>
      <c r="CW523" s="17"/>
      <c r="CX523" s="17"/>
      <c r="CY523" s="17"/>
      <c r="CZ523" s="17"/>
      <c r="DA523" s="17"/>
      <c r="DB523" s="17"/>
      <c r="DC523" s="17"/>
      <c r="DD523" s="17"/>
      <c r="DE523" s="17"/>
      <c r="DF523" s="17"/>
      <c r="DG523" s="17"/>
      <c r="DH523" s="17"/>
      <c r="DI523" s="17"/>
      <c r="DJ523" s="17"/>
      <c r="DK523" s="17"/>
      <c r="DL523" s="17"/>
      <c r="DM523" s="17"/>
      <c r="DN523" s="17"/>
      <c r="DO523" s="17"/>
      <c r="DP523" s="17"/>
      <c r="DQ523" s="17"/>
      <c r="DR523" s="17"/>
      <c r="DS523" s="17"/>
      <c r="DT523" s="17"/>
      <c r="DU523" s="17"/>
      <c r="DV523" s="17"/>
      <c r="DW523" s="17"/>
      <c r="DX523" s="17"/>
      <c r="DY523" s="17"/>
      <c r="DZ523" s="17"/>
      <c r="EA523" s="17"/>
      <c r="EB523" s="17"/>
      <c r="EC523" s="17"/>
    </row>
    <row r="524" spans="1:133" x14ac:dyDescent="0.25">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c r="BC524" s="17"/>
      <c r="BD524" s="17"/>
      <c r="BE524" s="17"/>
      <c r="BF524" s="17"/>
      <c r="BG524" s="17"/>
      <c r="BH524" s="17"/>
      <c r="BI524" s="17"/>
      <c r="BJ524" s="17"/>
      <c r="BK524" s="17"/>
      <c r="BL524" s="17"/>
      <c r="BM524" s="17"/>
      <c r="BN524" s="17"/>
      <c r="BO524" s="17"/>
      <c r="BP524" s="17"/>
      <c r="BQ524" s="17"/>
      <c r="BR524" s="17"/>
      <c r="BS524" s="17"/>
      <c r="BT524" s="17"/>
      <c r="BU524" s="17"/>
      <c r="BV524" s="17"/>
      <c r="BW524" s="17"/>
      <c r="BX524" s="17"/>
      <c r="BY524" s="17"/>
      <c r="BZ524" s="17"/>
      <c r="CA524" s="17"/>
      <c r="CB524" s="17"/>
      <c r="CC524" s="17"/>
      <c r="CD524" s="17"/>
      <c r="CE524" s="17"/>
      <c r="CF524" s="17"/>
      <c r="CG524" s="17"/>
      <c r="CH524" s="17"/>
      <c r="CI524" s="17"/>
      <c r="CJ524" s="17"/>
      <c r="CK524" s="17"/>
      <c r="CL524" s="17"/>
      <c r="CM524" s="17"/>
      <c r="CN524" s="17"/>
      <c r="CO524" s="17"/>
      <c r="CP524" s="17"/>
      <c r="CQ524" s="17"/>
      <c r="CR524" s="17"/>
      <c r="CS524" s="17"/>
      <c r="CT524" s="17"/>
      <c r="CU524" s="17"/>
      <c r="CV524" s="17"/>
      <c r="CW524" s="17"/>
      <c r="CX524" s="17"/>
      <c r="CY524" s="17"/>
      <c r="CZ524" s="17"/>
      <c r="DA524" s="17"/>
      <c r="DB524" s="17"/>
      <c r="DC524" s="17"/>
      <c r="DD524" s="17"/>
      <c r="DE524" s="17"/>
      <c r="DF524" s="17"/>
      <c r="DG524" s="17"/>
      <c r="DH524" s="17"/>
      <c r="DI524" s="17"/>
      <c r="DJ524" s="17"/>
      <c r="DK524" s="17"/>
      <c r="DL524" s="17"/>
      <c r="DM524" s="17"/>
      <c r="DN524" s="17"/>
      <c r="DO524" s="17"/>
      <c r="DP524" s="17"/>
      <c r="DQ524" s="17"/>
      <c r="DR524" s="17"/>
      <c r="DS524" s="17"/>
      <c r="DT524" s="17"/>
      <c r="DU524" s="17"/>
      <c r="DV524" s="17"/>
      <c r="DW524" s="17"/>
      <c r="DX524" s="17"/>
      <c r="DY524" s="17"/>
      <c r="DZ524" s="17"/>
      <c r="EA524" s="17"/>
      <c r="EB524" s="17"/>
      <c r="EC524" s="17"/>
    </row>
    <row r="525" spans="1:133" x14ac:dyDescent="0.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c r="BC525" s="17"/>
      <c r="BD525" s="17"/>
      <c r="BE525" s="17"/>
      <c r="BF525" s="17"/>
      <c r="BG525" s="17"/>
      <c r="BH525" s="17"/>
      <c r="BI525" s="17"/>
      <c r="BJ525" s="17"/>
      <c r="BK525" s="17"/>
      <c r="BL525" s="17"/>
      <c r="BM525" s="17"/>
      <c r="BN525" s="17"/>
      <c r="BO525" s="17"/>
      <c r="BP525" s="17"/>
      <c r="BQ525" s="17"/>
      <c r="BR525" s="17"/>
      <c r="BS525" s="17"/>
      <c r="BT525" s="17"/>
      <c r="BU525" s="17"/>
      <c r="BV525" s="17"/>
      <c r="BW525" s="17"/>
      <c r="BX525" s="17"/>
      <c r="BY525" s="17"/>
      <c r="BZ525" s="17"/>
      <c r="CA525" s="17"/>
      <c r="CB525" s="17"/>
      <c r="CC525" s="17"/>
      <c r="CD525" s="17"/>
      <c r="CE525" s="17"/>
      <c r="CF525" s="17"/>
      <c r="CG525" s="17"/>
      <c r="CH525" s="17"/>
      <c r="CI525" s="17"/>
      <c r="CJ525" s="17"/>
      <c r="CK525" s="17"/>
      <c r="CL525" s="17"/>
      <c r="CM525" s="17"/>
      <c r="CN525" s="17"/>
      <c r="CO525" s="17"/>
      <c r="CP525" s="17"/>
      <c r="CQ525" s="17"/>
      <c r="CR525" s="17"/>
      <c r="CS525" s="17"/>
      <c r="CT525" s="17"/>
      <c r="CU525" s="17"/>
      <c r="CV525" s="17"/>
      <c r="CW525" s="17"/>
      <c r="CX525" s="17"/>
      <c r="CY525" s="17"/>
      <c r="CZ525" s="17"/>
      <c r="DA525" s="17"/>
      <c r="DB525" s="17"/>
      <c r="DC525" s="17"/>
      <c r="DD525" s="17"/>
      <c r="DE525" s="17"/>
      <c r="DF525" s="17"/>
      <c r="DG525" s="17"/>
      <c r="DH525" s="17"/>
      <c r="DI525" s="17"/>
      <c r="DJ525" s="17"/>
      <c r="DK525" s="17"/>
      <c r="DL525" s="17"/>
      <c r="DM525" s="17"/>
      <c r="DN525" s="17"/>
      <c r="DO525" s="17"/>
      <c r="DP525" s="17"/>
      <c r="DQ525" s="17"/>
      <c r="DR525" s="17"/>
      <c r="DS525" s="17"/>
      <c r="DT525" s="17"/>
      <c r="DU525" s="17"/>
      <c r="DV525" s="17"/>
      <c r="DW525" s="17"/>
      <c r="DX525" s="17"/>
      <c r="DY525" s="17"/>
      <c r="DZ525" s="17"/>
      <c r="EA525" s="17"/>
      <c r="EB525" s="17"/>
      <c r="EC525" s="17"/>
    </row>
    <row r="526" spans="1:133" x14ac:dyDescent="0.25">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c r="BC526" s="17"/>
      <c r="BD526" s="17"/>
      <c r="BE526" s="17"/>
      <c r="BF526" s="17"/>
      <c r="BG526" s="17"/>
      <c r="BH526" s="17"/>
      <c r="BI526" s="17"/>
      <c r="BJ526" s="17"/>
      <c r="BK526" s="17"/>
      <c r="BL526" s="17"/>
      <c r="BM526" s="17"/>
      <c r="BN526" s="17"/>
      <c r="BO526" s="17"/>
      <c r="BP526" s="17"/>
      <c r="BQ526" s="17"/>
      <c r="BR526" s="17"/>
      <c r="BS526" s="17"/>
      <c r="BT526" s="17"/>
      <c r="BU526" s="17"/>
      <c r="BV526" s="17"/>
      <c r="BW526" s="17"/>
      <c r="BX526" s="17"/>
      <c r="BY526" s="17"/>
      <c r="BZ526" s="17"/>
      <c r="CA526" s="17"/>
      <c r="CB526" s="17"/>
      <c r="CC526" s="17"/>
      <c r="CD526" s="17"/>
      <c r="CE526" s="17"/>
      <c r="CF526" s="17"/>
      <c r="CG526" s="17"/>
      <c r="CH526" s="17"/>
      <c r="CI526" s="17"/>
      <c r="CJ526" s="17"/>
      <c r="CK526" s="17"/>
      <c r="CL526" s="17"/>
      <c r="CM526" s="17"/>
      <c r="CN526" s="17"/>
      <c r="CO526" s="17"/>
      <c r="CP526" s="17"/>
      <c r="CQ526" s="17"/>
      <c r="CR526" s="17"/>
      <c r="CS526" s="17"/>
      <c r="CT526" s="17"/>
      <c r="CU526" s="17"/>
      <c r="CV526" s="17"/>
      <c r="CW526" s="17"/>
      <c r="CX526" s="17"/>
      <c r="CY526" s="17"/>
      <c r="CZ526" s="17"/>
      <c r="DA526" s="17"/>
      <c r="DB526" s="17"/>
      <c r="DC526" s="17"/>
      <c r="DD526" s="17"/>
      <c r="DE526" s="17"/>
      <c r="DF526" s="17"/>
      <c r="DG526" s="17"/>
      <c r="DH526" s="17"/>
      <c r="DI526" s="17"/>
      <c r="DJ526" s="17"/>
      <c r="DK526" s="17"/>
      <c r="DL526" s="17"/>
      <c r="DM526" s="17"/>
      <c r="DN526" s="17"/>
      <c r="DO526" s="17"/>
      <c r="DP526" s="17"/>
      <c r="DQ526" s="17"/>
      <c r="DR526" s="17"/>
      <c r="DS526" s="17"/>
      <c r="DT526" s="17"/>
      <c r="DU526" s="17"/>
      <c r="DV526" s="17"/>
      <c r="DW526" s="17"/>
      <c r="DX526" s="17"/>
      <c r="DY526" s="17"/>
      <c r="DZ526" s="17"/>
      <c r="EA526" s="17"/>
      <c r="EB526" s="17"/>
      <c r="EC526" s="17"/>
    </row>
    <row r="527" spans="1:133" x14ac:dyDescent="0.25">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c r="BB527" s="17"/>
      <c r="BC527" s="17"/>
      <c r="BD527" s="17"/>
      <c r="BE527" s="17"/>
      <c r="BF527" s="17"/>
      <c r="BG527" s="17"/>
      <c r="BH527" s="17"/>
      <c r="BI527" s="17"/>
      <c r="BJ527" s="17"/>
      <c r="BK527" s="17"/>
      <c r="BL527" s="17"/>
      <c r="BM527" s="17"/>
      <c r="BN527" s="17"/>
      <c r="BO527" s="17"/>
      <c r="BP527" s="17"/>
      <c r="BQ527" s="17"/>
      <c r="BR527" s="17"/>
      <c r="BS527" s="17"/>
      <c r="BT527" s="17"/>
      <c r="BU527" s="17"/>
      <c r="BV527" s="17"/>
      <c r="BW527" s="17"/>
      <c r="BX527" s="17"/>
      <c r="BY527" s="17"/>
      <c r="BZ527" s="17"/>
      <c r="CA527" s="17"/>
      <c r="CB527" s="17"/>
      <c r="CC527" s="17"/>
      <c r="CD527" s="17"/>
      <c r="CE527" s="17"/>
      <c r="CF527" s="17"/>
      <c r="CG527" s="17"/>
      <c r="CH527" s="17"/>
      <c r="CI527" s="17"/>
      <c r="CJ527" s="17"/>
      <c r="CK527" s="17"/>
      <c r="CL527" s="17"/>
      <c r="CM527" s="17"/>
      <c r="CN527" s="17"/>
      <c r="CO527" s="17"/>
      <c r="CP527" s="17"/>
      <c r="CQ527" s="17"/>
      <c r="CR527" s="17"/>
      <c r="CS527" s="17"/>
      <c r="CT527" s="17"/>
      <c r="CU527" s="17"/>
      <c r="CV527" s="17"/>
      <c r="CW527" s="17"/>
      <c r="CX527" s="17"/>
      <c r="CY527" s="17"/>
      <c r="CZ527" s="17"/>
      <c r="DA527" s="17"/>
      <c r="DB527" s="17"/>
      <c r="DC527" s="17"/>
      <c r="DD527" s="17"/>
      <c r="DE527" s="17"/>
      <c r="DF527" s="17"/>
      <c r="DG527" s="17"/>
      <c r="DH527" s="17"/>
      <c r="DI527" s="17"/>
      <c r="DJ527" s="17"/>
      <c r="DK527" s="17"/>
      <c r="DL527" s="17"/>
      <c r="DM527" s="17"/>
      <c r="DN527" s="17"/>
      <c r="DO527" s="17"/>
      <c r="DP527" s="17"/>
      <c r="DQ527" s="17"/>
      <c r="DR527" s="17"/>
      <c r="DS527" s="17"/>
      <c r="DT527" s="17"/>
      <c r="DU527" s="17"/>
      <c r="DV527" s="17"/>
      <c r="DW527" s="17"/>
      <c r="DX527" s="17"/>
      <c r="DY527" s="17"/>
      <c r="DZ527" s="17"/>
      <c r="EA527" s="17"/>
      <c r="EB527" s="17"/>
      <c r="EC527" s="17"/>
    </row>
    <row r="528" spans="1:133" x14ac:dyDescent="0.25">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c r="BC528" s="17"/>
      <c r="BD528" s="17"/>
      <c r="BE528" s="17"/>
      <c r="BF528" s="17"/>
      <c r="BG528" s="17"/>
      <c r="BH528" s="17"/>
      <c r="BI528" s="17"/>
      <c r="BJ528" s="17"/>
      <c r="BK528" s="17"/>
      <c r="BL528" s="17"/>
      <c r="BM528" s="17"/>
      <c r="BN528" s="17"/>
      <c r="BO528" s="17"/>
      <c r="BP528" s="17"/>
      <c r="BQ528" s="17"/>
      <c r="BR528" s="17"/>
      <c r="BS528" s="17"/>
      <c r="BT528" s="17"/>
      <c r="BU528" s="17"/>
      <c r="BV528" s="17"/>
      <c r="BW528" s="17"/>
      <c r="BX528" s="17"/>
      <c r="BY528" s="17"/>
      <c r="BZ528" s="17"/>
      <c r="CA528" s="17"/>
      <c r="CB528" s="17"/>
      <c r="CC528" s="17"/>
      <c r="CD528" s="17"/>
      <c r="CE528" s="17"/>
      <c r="CF528" s="17"/>
      <c r="CG528" s="17"/>
      <c r="CH528" s="17"/>
      <c r="CI528" s="17"/>
      <c r="CJ528" s="17"/>
      <c r="CK528" s="17"/>
      <c r="CL528" s="17"/>
      <c r="CM528" s="17"/>
      <c r="CN528" s="17"/>
      <c r="CO528" s="17"/>
      <c r="CP528" s="17"/>
      <c r="CQ528" s="17"/>
      <c r="CR528" s="17"/>
      <c r="CS528" s="17"/>
      <c r="CT528" s="17"/>
      <c r="CU528" s="17"/>
      <c r="CV528" s="17"/>
      <c r="CW528" s="17"/>
      <c r="CX528" s="17"/>
      <c r="CY528" s="17"/>
      <c r="CZ528" s="17"/>
      <c r="DA528" s="17"/>
      <c r="DB528" s="17"/>
      <c r="DC528" s="17"/>
      <c r="DD528" s="17"/>
      <c r="DE528" s="17"/>
      <c r="DF528" s="17"/>
      <c r="DG528" s="17"/>
      <c r="DH528" s="17"/>
      <c r="DI528" s="17"/>
      <c r="DJ528" s="17"/>
      <c r="DK528" s="17"/>
      <c r="DL528" s="17"/>
      <c r="DM528" s="17"/>
      <c r="DN528" s="17"/>
      <c r="DO528" s="17"/>
      <c r="DP528" s="17"/>
      <c r="DQ528" s="17"/>
      <c r="DR528" s="17"/>
      <c r="DS528" s="17"/>
      <c r="DT528" s="17"/>
      <c r="DU528" s="17"/>
      <c r="DV528" s="17"/>
      <c r="DW528" s="17"/>
      <c r="DX528" s="17"/>
      <c r="DY528" s="17"/>
      <c r="DZ528" s="17"/>
      <c r="EA528" s="17"/>
      <c r="EB528" s="17"/>
      <c r="EC528" s="17"/>
    </row>
    <row r="529" spans="1:133" x14ac:dyDescent="0.25">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c r="BC529" s="17"/>
      <c r="BD529" s="17"/>
      <c r="BE529" s="17"/>
      <c r="BF529" s="17"/>
      <c r="BG529" s="17"/>
      <c r="BH529" s="17"/>
      <c r="BI529" s="17"/>
      <c r="BJ529" s="17"/>
      <c r="BK529" s="17"/>
      <c r="BL529" s="17"/>
      <c r="BM529" s="17"/>
      <c r="BN529" s="17"/>
      <c r="BO529" s="17"/>
      <c r="BP529" s="17"/>
      <c r="BQ529" s="17"/>
      <c r="BR529" s="17"/>
      <c r="BS529" s="17"/>
      <c r="BT529" s="17"/>
      <c r="BU529" s="17"/>
      <c r="BV529" s="17"/>
      <c r="BW529" s="17"/>
      <c r="BX529" s="17"/>
      <c r="BY529" s="17"/>
      <c r="BZ529" s="17"/>
      <c r="CA529" s="17"/>
      <c r="CB529" s="17"/>
      <c r="CC529" s="17"/>
      <c r="CD529" s="17"/>
      <c r="CE529" s="17"/>
      <c r="CF529" s="17"/>
      <c r="CG529" s="17"/>
      <c r="CH529" s="17"/>
      <c r="CI529" s="17"/>
      <c r="CJ529" s="17"/>
      <c r="CK529" s="17"/>
      <c r="CL529" s="17"/>
      <c r="CM529" s="17"/>
      <c r="CN529" s="17"/>
      <c r="CO529" s="17"/>
      <c r="CP529" s="17"/>
      <c r="CQ529" s="17"/>
      <c r="CR529" s="17"/>
      <c r="CS529" s="17"/>
      <c r="CT529" s="17"/>
      <c r="CU529" s="17"/>
      <c r="CV529" s="17"/>
      <c r="CW529" s="17"/>
      <c r="CX529" s="17"/>
      <c r="CY529" s="17"/>
      <c r="CZ529" s="17"/>
      <c r="DA529" s="17"/>
      <c r="DB529" s="17"/>
      <c r="DC529" s="17"/>
      <c r="DD529" s="17"/>
      <c r="DE529" s="17"/>
      <c r="DF529" s="17"/>
      <c r="DG529" s="17"/>
      <c r="DH529" s="17"/>
      <c r="DI529" s="17"/>
      <c r="DJ529" s="17"/>
      <c r="DK529" s="17"/>
      <c r="DL529" s="17"/>
      <c r="DM529" s="17"/>
      <c r="DN529" s="17"/>
      <c r="DO529" s="17"/>
      <c r="DP529" s="17"/>
      <c r="DQ529" s="17"/>
      <c r="DR529" s="17"/>
      <c r="DS529" s="17"/>
      <c r="DT529" s="17"/>
      <c r="DU529" s="17"/>
      <c r="DV529" s="17"/>
      <c r="DW529" s="17"/>
      <c r="DX529" s="17"/>
      <c r="DY529" s="17"/>
      <c r="DZ529" s="17"/>
      <c r="EA529" s="17"/>
      <c r="EB529" s="17"/>
      <c r="EC529" s="17"/>
    </row>
    <row r="530" spans="1:133" x14ac:dyDescent="0.25">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c r="BC530" s="17"/>
      <c r="BD530" s="17"/>
      <c r="BE530" s="17"/>
      <c r="BF530" s="17"/>
      <c r="BG530" s="17"/>
      <c r="BH530" s="17"/>
      <c r="BI530" s="17"/>
      <c r="BJ530" s="17"/>
      <c r="BK530" s="17"/>
      <c r="BL530" s="17"/>
      <c r="BM530" s="17"/>
      <c r="BN530" s="17"/>
      <c r="BO530" s="17"/>
      <c r="BP530" s="17"/>
      <c r="BQ530" s="17"/>
      <c r="BR530" s="17"/>
      <c r="BS530" s="17"/>
      <c r="BT530" s="17"/>
      <c r="BU530" s="17"/>
      <c r="BV530" s="17"/>
      <c r="BW530" s="17"/>
      <c r="BX530" s="17"/>
      <c r="BY530" s="17"/>
      <c r="BZ530" s="17"/>
      <c r="CA530" s="17"/>
      <c r="CB530" s="17"/>
      <c r="CC530" s="17"/>
      <c r="CD530" s="17"/>
      <c r="CE530" s="17"/>
      <c r="CF530" s="17"/>
      <c r="CG530" s="17"/>
      <c r="CH530" s="17"/>
      <c r="CI530" s="17"/>
      <c r="CJ530" s="17"/>
      <c r="CK530" s="17"/>
      <c r="CL530" s="17"/>
      <c r="CM530" s="17"/>
      <c r="CN530" s="17"/>
      <c r="CO530" s="17"/>
      <c r="CP530" s="17"/>
      <c r="CQ530" s="17"/>
      <c r="CR530" s="17"/>
      <c r="CS530" s="17"/>
      <c r="CT530" s="17"/>
      <c r="CU530" s="17"/>
      <c r="CV530" s="17"/>
      <c r="CW530" s="17"/>
      <c r="CX530" s="17"/>
      <c r="CY530" s="17"/>
      <c r="CZ530" s="17"/>
      <c r="DA530" s="17"/>
      <c r="DB530" s="17"/>
      <c r="DC530" s="17"/>
      <c r="DD530" s="17"/>
      <c r="DE530" s="17"/>
      <c r="DF530" s="17"/>
      <c r="DG530" s="17"/>
      <c r="DH530" s="17"/>
      <c r="DI530" s="17"/>
      <c r="DJ530" s="17"/>
      <c r="DK530" s="17"/>
      <c r="DL530" s="17"/>
      <c r="DM530" s="17"/>
      <c r="DN530" s="17"/>
      <c r="DO530" s="17"/>
      <c r="DP530" s="17"/>
      <c r="DQ530" s="17"/>
      <c r="DR530" s="17"/>
      <c r="DS530" s="17"/>
      <c r="DT530" s="17"/>
      <c r="DU530" s="17"/>
      <c r="DV530" s="17"/>
      <c r="DW530" s="17"/>
      <c r="DX530" s="17"/>
      <c r="DY530" s="17"/>
      <c r="DZ530" s="17"/>
      <c r="EA530" s="17"/>
      <c r="EB530" s="17"/>
      <c r="EC530" s="17"/>
    </row>
    <row r="531" spans="1:133" x14ac:dyDescent="0.25">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c r="BC531" s="17"/>
      <c r="BD531" s="17"/>
      <c r="BE531" s="17"/>
      <c r="BF531" s="17"/>
      <c r="BG531" s="17"/>
      <c r="BH531" s="17"/>
      <c r="BI531" s="17"/>
      <c r="BJ531" s="17"/>
      <c r="BK531" s="17"/>
      <c r="BL531" s="17"/>
      <c r="BM531" s="17"/>
      <c r="BN531" s="17"/>
      <c r="BO531" s="17"/>
      <c r="BP531" s="17"/>
      <c r="BQ531" s="17"/>
      <c r="BR531" s="17"/>
      <c r="BS531" s="17"/>
      <c r="BT531" s="17"/>
      <c r="BU531" s="17"/>
      <c r="BV531" s="17"/>
      <c r="BW531" s="17"/>
      <c r="BX531" s="17"/>
      <c r="BY531" s="17"/>
      <c r="BZ531" s="17"/>
      <c r="CA531" s="17"/>
      <c r="CB531" s="17"/>
      <c r="CC531" s="17"/>
      <c r="CD531" s="17"/>
      <c r="CE531" s="17"/>
      <c r="CF531" s="17"/>
      <c r="CG531" s="17"/>
      <c r="CH531" s="17"/>
      <c r="CI531" s="17"/>
      <c r="CJ531" s="17"/>
      <c r="CK531" s="17"/>
      <c r="CL531" s="17"/>
      <c r="CM531" s="17"/>
      <c r="CN531" s="17"/>
      <c r="CO531" s="17"/>
      <c r="CP531" s="17"/>
      <c r="CQ531" s="17"/>
      <c r="CR531" s="17"/>
      <c r="CS531" s="17"/>
      <c r="CT531" s="17"/>
      <c r="CU531" s="17"/>
      <c r="CV531" s="17"/>
      <c r="CW531" s="17"/>
      <c r="CX531" s="17"/>
      <c r="CY531" s="17"/>
      <c r="CZ531" s="17"/>
      <c r="DA531" s="17"/>
      <c r="DB531" s="17"/>
      <c r="DC531" s="17"/>
      <c r="DD531" s="17"/>
      <c r="DE531" s="17"/>
      <c r="DF531" s="17"/>
      <c r="DG531" s="17"/>
      <c r="DH531" s="17"/>
      <c r="DI531" s="17"/>
      <c r="DJ531" s="17"/>
      <c r="DK531" s="17"/>
      <c r="DL531" s="17"/>
      <c r="DM531" s="17"/>
      <c r="DN531" s="17"/>
      <c r="DO531" s="17"/>
      <c r="DP531" s="17"/>
      <c r="DQ531" s="17"/>
      <c r="DR531" s="17"/>
      <c r="DS531" s="17"/>
      <c r="DT531" s="17"/>
      <c r="DU531" s="17"/>
      <c r="DV531" s="17"/>
      <c r="DW531" s="17"/>
      <c r="DX531" s="17"/>
      <c r="DY531" s="17"/>
      <c r="DZ531" s="17"/>
      <c r="EA531" s="17"/>
      <c r="EB531" s="17"/>
      <c r="EC531" s="17"/>
    </row>
    <row r="532" spans="1:133" x14ac:dyDescent="0.25">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c r="BB532" s="17"/>
      <c r="BC532" s="17"/>
      <c r="BD532" s="17"/>
      <c r="BE532" s="17"/>
      <c r="BF532" s="17"/>
      <c r="BG532" s="17"/>
      <c r="BH532" s="17"/>
      <c r="BI532" s="17"/>
      <c r="BJ532" s="17"/>
      <c r="BK532" s="17"/>
      <c r="BL532" s="17"/>
      <c r="BM532" s="17"/>
      <c r="BN532" s="17"/>
      <c r="BO532" s="17"/>
      <c r="BP532" s="17"/>
      <c r="BQ532" s="17"/>
      <c r="BR532" s="17"/>
      <c r="BS532" s="17"/>
      <c r="BT532" s="17"/>
      <c r="BU532" s="17"/>
      <c r="BV532" s="17"/>
      <c r="BW532" s="17"/>
      <c r="BX532" s="17"/>
      <c r="BY532" s="17"/>
      <c r="BZ532" s="17"/>
      <c r="CA532" s="17"/>
      <c r="CB532" s="17"/>
      <c r="CC532" s="17"/>
      <c r="CD532" s="17"/>
      <c r="CE532" s="17"/>
      <c r="CF532" s="17"/>
      <c r="CG532" s="17"/>
      <c r="CH532" s="17"/>
      <c r="CI532" s="17"/>
      <c r="CJ532" s="17"/>
      <c r="CK532" s="17"/>
      <c r="CL532" s="17"/>
      <c r="CM532" s="17"/>
      <c r="CN532" s="17"/>
      <c r="CO532" s="17"/>
      <c r="CP532" s="17"/>
      <c r="CQ532" s="17"/>
      <c r="CR532" s="17"/>
      <c r="CS532" s="17"/>
      <c r="CT532" s="17"/>
      <c r="CU532" s="17"/>
      <c r="CV532" s="17"/>
      <c r="CW532" s="17"/>
      <c r="CX532" s="17"/>
      <c r="CY532" s="17"/>
      <c r="CZ532" s="17"/>
      <c r="DA532" s="17"/>
      <c r="DB532" s="17"/>
      <c r="DC532" s="17"/>
      <c r="DD532" s="17"/>
      <c r="DE532" s="17"/>
      <c r="DF532" s="17"/>
      <c r="DG532" s="17"/>
      <c r="DH532" s="17"/>
      <c r="DI532" s="17"/>
      <c r="DJ532" s="17"/>
      <c r="DK532" s="17"/>
      <c r="DL532" s="17"/>
      <c r="DM532" s="17"/>
      <c r="DN532" s="17"/>
      <c r="DO532" s="17"/>
      <c r="DP532" s="17"/>
      <c r="DQ532" s="17"/>
      <c r="DR532" s="17"/>
      <c r="DS532" s="17"/>
      <c r="DT532" s="17"/>
      <c r="DU532" s="17"/>
      <c r="DV532" s="17"/>
      <c r="DW532" s="17"/>
      <c r="DX532" s="17"/>
      <c r="DY532" s="17"/>
      <c r="DZ532" s="17"/>
      <c r="EA532" s="17"/>
      <c r="EB532" s="17"/>
      <c r="EC532" s="17"/>
    </row>
    <row r="533" spans="1:133" x14ac:dyDescent="0.25">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17"/>
      <c r="BA533" s="17"/>
      <c r="BB533" s="17"/>
      <c r="BC533" s="17"/>
      <c r="BD533" s="17"/>
      <c r="BE533" s="17"/>
      <c r="BF533" s="17"/>
      <c r="BG533" s="17"/>
      <c r="BH533" s="17"/>
      <c r="BI533" s="17"/>
      <c r="BJ533" s="17"/>
      <c r="BK533" s="17"/>
      <c r="BL533" s="17"/>
      <c r="BM533" s="17"/>
      <c r="BN533" s="17"/>
      <c r="BO533" s="17"/>
      <c r="BP533" s="17"/>
      <c r="BQ533" s="17"/>
      <c r="BR533" s="17"/>
      <c r="BS533" s="17"/>
      <c r="BT533" s="17"/>
      <c r="BU533" s="17"/>
      <c r="BV533" s="17"/>
      <c r="BW533" s="17"/>
      <c r="BX533" s="17"/>
      <c r="BY533" s="17"/>
      <c r="BZ533" s="17"/>
      <c r="CA533" s="17"/>
      <c r="CB533" s="17"/>
      <c r="CC533" s="17"/>
      <c r="CD533" s="17"/>
      <c r="CE533" s="17"/>
      <c r="CF533" s="17"/>
      <c r="CG533" s="17"/>
      <c r="CH533" s="17"/>
      <c r="CI533" s="17"/>
      <c r="CJ533" s="17"/>
      <c r="CK533" s="17"/>
      <c r="CL533" s="17"/>
      <c r="CM533" s="17"/>
      <c r="CN533" s="17"/>
      <c r="CO533" s="17"/>
      <c r="CP533" s="17"/>
      <c r="CQ533" s="17"/>
      <c r="CR533" s="17"/>
      <c r="CS533" s="17"/>
      <c r="CT533" s="17"/>
      <c r="CU533" s="17"/>
      <c r="CV533" s="17"/>
      <c r="CW533" s="17"/>
      <c r="CX533" s="17"/>
      <c r="CY533" s="17"/>
      <c r="CZ533" s="17"/>
      <c r="DA533" s="17"/>
      <c r="DB533" s="17"/>
      <c r="DC533" s="17"/>
      <c r="DD533" s="17"/>
      <c r="DE533" s="17"/>
      <c r="DF533" s="17"/>
      <c r="DG533" s="17"/>
      <c r="DH533" s="17"/>
      <c r="DI533" s="17"/>
      <c r="DJ533" s="17"/>
      <c r="DK533" s="17"/>
      <c r="DL533" s="17"/>
      <c r="DM533" s="17"/>
      <c r="DN533" s="17"/>
      <c r="DO533" s="17"/>
      <c r="DP533" s="17"/>
      <c r="DQ533" s="17"/>
      <c r="DR533" s="17"/>
      <c r="DS533" s="17"/>
      <c r="DT533" s="17"/>
      <c r="DU533" s="17"/>
      <c r="DV533" s="17"/>
      <c r="DW533" s="17"/>
      <c r="DX533" s="17"/>
      <c r="DY533" s="17"/>
      <c r="DZ533" s="17"/>
      <c r="EA533" s="17"/>
      <c r="EB533" s="17"/>
      <c r="EC533" s="17"/>
    </row>
    <row r="534" spans="1:133" x14ac:dyDescent="0.25">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17"/>
      <c r="BA534" s="17"/>
      <c r="BB534" s="17"/>
      <c r="BC534" s="17"/>
      <c r="BD534" s="17"/>
      <c r="BE534" s="17"/>
      <c r="BF534" s="17"/>
      <c r="BG534" s="17"/>
      <c r="BH534" s="17"/>
      <c r="BI534" s="17"/>
      <c r="BJ534" s="17"/>
      <c r="BK534" s="17"/>
      <c r="BL534" s="17"/>
      <c r="BM534" s="17"/>
      <c r="BN534" s="17"/>
      <c r="BO534" s="17"/>
      <c r="BP534" s="17"/>
      <c r="BQ534" s="17"/>
      <c r="BR534" s="17"/>
      <c r="BS534" s="17"/>
      <c r="BT534" s="17"/>
      <c r="BU534" s="17"/>
      <c r="BV534" s="17"/>
      <c r="BW534" s="17"/>
      <c r="BX534" s="17"/>
      <c r="BY534" s="17"/>
      <c r="BZ534" s="17"/>
      <c r="CA534" s="17"/>
      <c r="CB534" s="17"/>
      <c r="CC534" s="17"/>
      <c r="CD534" s="17"/>
      <c r="CE534" s="17"/>
      <c r="CF534" s="17"/>
      <c r="CG534" s="17"/>
      <c r="CH534" s="17"/>
      <c r="CI534" s="17"/>
      <c r="CJ534" s="17"/>
      <c r="CK534" s="17"/>
      <c r="CL534" s="17"/>
      <c r="CM534" s="17"/>
      <c r="CN534" s="17"/>
      <c r="CO534" s="17"/>
      <c r="CP534" s="17"/>
      <c r="CQ534" s="17"/>
      <c r="CR534" s="17"/>
      <c r="CS534" s="17"/>
      <c r="CT534" s="17"/>
      <c r="CU534" s="17"/>
      <c r="CV534" s="17"/>
      <c r="CW534" s="17"/>
      <c r="CX534" s="17"/>
      <c r="CY534" s="17"/>
      <c r="CZ534" s="17"/>
      <c r="DA534" s="17"/>
      <c r="DB534" s="17"/>
      <c r="DC534" s="17"/>
      <c r="DD534" s="17"/>
      <c r="DE534" s="17"/>
      <c r="DF534" s="17"/>
      <c r="DG534" s="17"/>
      <c r="DH534" s="17"/>
      <c r="DI534" s="17"/>
      <c r="DJ534" s="17"/>
      <c r="DK534" s="17"/>
      <c r="DL534" s="17"/>
      <c r="DM534" s="17"/>
      <c r="DN534" s="17"/>
      <c r="DO534" s="17"/>
      <c r="DP534" s="17"/>
      <c r="DQ534" s="17"/>
      <c r="DR534" s="17"/>
      <c r="DS534" s="17"/>
      <c r="DT534" s="17"/>
      <c r="DU534" s="17"/>
      <c r="DV534" s="17"/>
      <c r="DW534" s="17"/>
      <c r="DX534" s="17"/>
      <c r="DY534" s="17"/>
      <c r="DZ534" s="17"/>
      <c r="EA534" s="17"/>
      <c r="EB534" s="17"/>
      <c r="EC534" s="17"/>
    </row>
    <row r="535" spans="1:133" x14ac:dyDescent="0.2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17"/>
      <c r="BA535" s="17"/>
      <c r="BB535" s="17"/>
      <c r="BC535" s="17"/>
      <c r="BD535" s="17"/>
      <c r="BE535" s="17"/>
      <c r="BF535" s="17"/>
      <c r="BG535" s="17"/>
      <c r="BH535" s="17"/>
      <c r="BI535" s="17"/>
      <c r="BJ535" s="17"/>
      <c r="BK535" s="17"/>
      <c r="BL535" s="17"/>
      <c r="BM535" s="17"/>
      <c r="BN535" s="17"/>
      <c r="BO535" s="17"/>
      <c r="BP535" s="17"/>
      <c r="BQ535" s="17"/>
      <c r="BR535" s="17"/>
      <c r="BS535" s="17"/>
      <c r="BT535" s="17"/>
      <c r="BU535" s="17"/>
      <c r="BV535" s="17"/>
      <c r="BW535" s="17"/>
      <c r="BX535" s="17"/>
      <c r="BY535" s="17"/>
      <c r="BZ535" s="17"/>
      <c r="CA535" s="17"/>
      <c r="CB535" s="17"/>
      <c r="CC535" s="17"/>
      <c r="CD535" s="17"/>
      <c r="CE535" s="17"/>
      <c r="CF535" s="17"/>
      <c r="CG535" s="17"/>
      <c r="CH535" s="17"/>
      <c r="CI535" s="17"/>
      <c r="CJ535" s="17"/>
      <c r="CK535" s="17"/>
      <c r="CL535" s="17"/>
      <c r="CM535" s="17"/>
      <c r="CN535" s="17"/>
      <c r="CO535" s="17"/>
      <c r="CP535" s="17"/>
      <c r="CQ535" s="17"/>
      <c r="CR535" s="17"/>
      <c r="CS535" s="17"/>
      <c r="CT535" s="17"/>
      <c r="CU535" s="17"/>
      <c r="CV535" s="17"/>
      <c r="CW535" s="17"/>
      <c r="CX535" s="17"/>
      <c r="CY535" s="17"/>
      <c r="CZ535" s="17"/>
      <c r="DA535" s="17"/>
      <c r="DB535" s="17"/>
      <c r="DC535" s="17"/>
      <c r="DD535" s="17"/>
      <c r="DE535" s="17"/>
      <c r="DF535" s="17"/>
      <c r="DG535" s="17"/>
      <c r="DH535" s="17"/>
      <c r="DI535" s="17"/>
      <c r="DJ535" s="17"/>
      <c r="DK535" s="17"/>
      <c r="DL535" s="17"/>
      <c r="DM535" s="17"/>
      <c r="DN535" s="17"/>
      <c r="DO535" s="17"/>
      <c r="DP535" s="17"/>
      <c r="DQ535" s="17"/>
      <c r="DR535" s="17"/>
      <c r="DS535" s="17"/>
      <c r="DT535" s="17"/>
      <c r="DU535" s="17"/>
      <c r="DV535" s="17"/>
      <c r="DW535" s="17"/>
      <c r="DX535" s="17"/>
      <c r="DY535" s="17"/>
      <c r="DZ535" s="17"/>
      <c r="EA535" s="17"/>
      <c r="EB535" s="17"/>
      <c r="EC535" s="17"/>
    </row>
    <row r="536" spans="1:133" x14ac:dyDescent="0.25">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17"/>
      <c r="BA536" s="17"/>
      <c r="BB536" s="17"/>
      <c r="BC536" s="17"/>
      <c r="BD536" s="17"/>
      <c r="BE536" s="17"/>
      <c r="BF536" s="17"/>
      <c r="BG536" s="17"/>
      <c r="BH536" s="17"/>
      <c r="BI536" s="17"/>
      <c r="BJ536" s="17"/>
      <c r="BK536" s="17"/>
      <c r="BL536" s="17"/>
      <c r="BM536" s="17"/>
      <c r="BN536" s="17"/>
      <c r="BO536" s="17"/>
      <c r="BP536" s="17"/>
      <c r="BQ536" s="17"/>
      <c r="BR536" s="17"/>
      <c r="BS536" s="17"/>
      <c r="BT536" s="17"/>
      <c r="BU536" s="17"/>
      <c r="BV536" s="17"/>
      <c r="BW536" s="17"/>
      <c r="BX536" s="17"/>
      <c r="BY536" s="17"/>
      <c r="BZ536" s="17"/>
      <c r="CA536" s="17"/>
      <c r="CB536" s="17"/>
      <c r="CC536" s="17"/>
      <c r="CD536" s="17"/>
      <c r="CE536" s="17"/>
      <c r="CF536" s="17"/>
      <c r="CG536" s="17"/>
      <c r="CH536" s="17"/>
      <c r="CI536" s="17"/>
      <c r="CJ536" s="17"/>
      <c r="CK536" s="17"/>
      <c r="CL536" s="17"/>
      <c r="CM536" s="17"/>
      <c r="CN536" s="17"/>
      <c r="CO536" s="17"/>
      <c r="CP536" s="17"/>
      <c r="CQ536" s="17"/>
      <c r="CR536" s="17"/>
      <c r="CS536" s="17"/>
      <c r="CT536" s="17"/>
      <c r="CU536" s="17"/>
      <c r="CV536" s="17"/>
      <c r="CW536" s="17"/>
      <c r="CX536" s="17"/>
      <c r="CY536" s="17"/>
      <c r="CZ536" s="17"/>
      <c r="DA536" s="17"/>
      <c r="DB536" s="17"/>
      <c r="DC536" s="17"/>
      <c r="DD536" s="17"/>
      <c r="DE536" s="17"/>
      <c r="DF536" s="17"/>
      <c r="DG536" s="17"/>
      <c r="DH536" s="17"/>
      <c r="DI536" s="17"/>
      <c r="DJ536" s="17"/>
      <c r="DK536" s="17"/>
      <c r="DL536" s="17"/>
      <c r="DM536" s="17"/>
      <c r="DN536" s="17"/>
      <c r="DO536" s="17"/>
      <c r="DP536" s="17"/>
      <c r="DQ536" s="17"/>
      <c r="DR536" s="17"/>
      <c r="DS536" s="17"/>
      <c r="DT536" s="17"/>
      <c r="DU536" s="17"/>
      <c r="DV536" s="17"/>
      <c r="DW536" s="17"/>
      <c r="DX536" s="17"/>
      <c r="DY536" s="17"/>
      <c r="DZ536" s="17"/>
      <c r="EA536" s="17"/>
      <c r="EB536" s="17"/>
      <c r="EC536" s="17"/>
    </row>
    <row r="537" spans="1:133" x14ac:dyDescent="0.25">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c r="BB537" s="17"/>
      <c r="BC537" s="17"/>
      <c r="BD537" s="17"/>
      <c r="BE537" s="17"/>
      <c r="BF537" s="17"/>
      <c r="BG537" s="17"/>
      <c r="BH537" s="17"/>
      <c r="BI537" s="17"/>
      <c r="BJ537" s="17"/>
      <c r="BK537" s="17"/>
      <c r="BL537" s="17"/>
      <c r="BM537" s="17"/>
      <c r="BN537" s="17"/>
      <c r="BO537" s="17"/>
      <c r="BP537" s="17"/>
      <c r="BQ537" s="17"/>
      <c r="BR537" s="17"/>
      <c r="BS537" s="17"/>
      <c r="BT537" s="17"/>
      <c r="BU537" s="17"/>
      <c r="BV537" s="17"/>
      <c r="BW537" s="17"/>
      <c r="BX537" s="17"/>
      <c r="BY537" s="17"/>
      <c r="BZ537" s="17"/>
      <c r="CA537" s="17"/>
      <c r="CB537" s="17"/>
      <c r="CC537" s="17"/>
      <c r="CD537" s="17"/>
      <c r="CE537" s="17"/>
      <c r="CF537" s="17"/>
      <c r="CG537" s="17"/>
      <c r="CH537" s="17"/>
      <c r="CI537" s="17"/>
      <c r="CJ537" s="17"/>
      <c r="CK537" s="17"/>
      <c r="CL537" s="17"/>
      <c r="CM537" s="17"/>
      <c r="CN537" s="17"/>
      <c r="CO537" s="17"/>
      <c r="CP537" s="17"/>
      <c r="CQ537" s="17"/>
      <c r="CR537" s="17"/>
      <c r="CS537" s="17"/>
      <c r="CT537" s="17"/>
      <c r="CU537" s="17"/>
      <c r="CV537" s="17"/>
      <c r="CW537" s="17"/>
      <c r="CX537" s="17"/>
      <c r="CY537" s="17"/>
      <c r="CZ537" s="17"/>
      <c r="DA537" s="17"/>
      <c r="DB537" s="17"/>
      <c r="DC537" s="17"/>
      <c r="DD537" s="17"/>
      <c r="DE537" s="17"/>
      <c r="DF537" s="17"/>
      <c r="DG537" s="17"/>
      <c r="DH537" s="17"/>
      <c r="DI537" s="17"/>
      <c r="DJ537" s="17"/>
      <c r="DK537" s="17"/>
      <c r="DL537" s="17"/>
      <c r="DM537" s="17"/>
      <c r="DN537" s="17"/>
      <c r="DO537" s="17"/>
      <c r="DP537" s="17"/>
      <c r="DQ537" s="17"/>
      <c r="DR537" s="17"/>
      <c r="DS537" s="17"/>
      <c r="DT537" s="17"/>
      <c r="DU537" s="17"/>
      <c r="DV537" s="17"/>
      <c r="DW537" s="17"/>
      <c r="DX537" s="17"/>
      <c r="DY537" s="17"/>
      <c r="DZ537" s="17"/>
      <c r="EA537" s="17"/>
      <c r="EB537" s="17"/>
      <c r="EC537" s="17"/>
    </row>
    <row r="538" spans="1:133" x14ac:dyDescent="0.25">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c r="BB538" s="17"/>
      <c r="BC538" s="17"/>
      <c r="BD538" s="17"/>
      <c r="BE538" s="17"/>
      <c r="BF538" s="17"/>
      <c r="BG538" s="17"/>
      <c r="BH538" s="17"/>
      <c r="BI538" s="17"/>
      <c r="BJ538" s="17"/>
      <c r="BK538" s="17"/>
      <c r="BL538" s="17"/>
      <c r="BM538" s="17"/>
      <c r="BN538" s="17"/>
      <c r="BO538" s="17"/>
      <c r="BP538" s="17"/>
      <c r="BQ538" s="17"/>
      <c r="BR538" s="17"/>
      <c r="BS538" s="17"/>
      <c r="BT538" s="17"/>
      <c r="BU538" s="17"/>
      <c r="BV538" s="17"/>
      <c r="BW538" s="17"/>
      <c r="BX538" s="17"/>
      <c r="BY538" s="17"/>
      <c r="BZ538" s="17"/>
      <c r="CA538" s="17"/>
      <c r="CB538" s="17"/>
      <c r="CC538" s="17"/>
      <c r="CD538" s="17"/>
      <c r="CE538" s="17"/>
      <c r="CF538" s="17"/>
      <c r="CG538" s="17"/>
      <c r="CH538" s="17"/>
      <c r="CI538" s="17"/>
      <c r="CJ538" s="17"/>
      <c r="CK538" s="17"/>
      <c r="CL538" s="17"/>
      <c r="CM538" s="17"/>
      <c r="CN538" s="17"/>
      <c r="CO538" s="17"/>
      <c r="CP538" s="17"/>
      <c r="CQ538" s="17"/>
      <c r="CR538" s="17"/>
      <c r="CS538" s="17"/>
      <c r="CT538" s="17"/>
      <c r="CU538" s="17"/>
      <c r="CV538" s="17"/>
      <c r="CW538" s="17"/>
      <c r="CX538" s="17"/>
      <c r="CY538" s="17"/>
      <c r="CZ538" s="17"/>
      <c r="DA538" s="17"/>
      <c r="DB538" s="17"/>
      <c r="DC538" s="17"/>
      <c r="DD538" s="17"/>
      <c r="DE538" s="17"/>
      <c r="DF538" s="17"/>
      <c r="DG538" s="17"/>
      <c r="DH538" s="17"/>
      <c r="DI538" s="17"/>
      <c r="DJ538" s="17"/>
      <c r="DK538" s="17"/>
      <c r="DL538" s="17"/>
      <c r="DM538" s="17"/>
      <c r="DN538" s="17"/>
      <c r="DO538" s="17"/>
      <c r="DP538" s="17"/>
      <c r="DQ538" s="17"/>
      <c r="DR538" s="17"/>
      <c r="DS538" s="17"/>
      <c r="DT538" s="17"/>
      <c r="DU538" s="17"/>
      <c r="DV538" s="17"/>
      <c r="DW538" s="17"/>
      <c r="DX538" s="17"/>
      <c r="DY538" s="17"/>
      <c r="DZ538" s="17"/>
      <c r="EA538" s="17"/>
      <c r="EB538" s="17"/>
      <c r="EC538" s="17"/>
    </row>
    <row r="539" spans="1:133" x14ac:dyDescent="0.25">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c r="BC539" s="17"/>
      <c r="BD539" s="17"/>
      <c r="BE539" s="17"/>
      <c r="BF539" s="17"/>
      <c r="BG539" s="17"/>
      <c r="BH539" s="17"/>
      <c r="BI539" s="17"/>
      <c r="BJ539" s="17"/>
      <c r="BK539" s="17"/>
      <c r="BL539" s="17"/>
      <c r="BM539" s="17"/>
      <c r="BN539" s="17"/>
      <c r="BO539" s="17"/>
      <c r="BP539" s="17"/>
      <c r="BQ539" s="17"/>
      <c r="BR539" s="17"/>
      <c r="BS539" s="17"/>
      <c r="BT539" s="17"/>
      <c r="BU539" s="17"/>
      <c r="BV539" s="17"/>
      <c r="BW539" s="17"/>
      <c r="BX539" s="17"/>
      <c r="BY539" s="17"/>
      <c r="BZ539" s="17"/>
      <c r="CA539" s="17"/>
      <c r="CB539" s="17"/>
      <c r="CC539" s="17"/>
      <c r="CD539" s="17"/>
      <c r="CE539" s="17"/>
      <c r="CF539" s="17"/>
      <c r="CG539" s="17"/>
      <c r="CH539" s="17"/>
      <c r="CI539" s="17"/>
      <c r="CJ539" s="17"/>
      <c r="CK539" s="17"/>
      <c r="CL539" s="17"/>
      <c r="CM539" s="17"/>
      <c r="CN539" s="17"/>
      <c r="CO539" s="17"/>
      <c r="CP539" s="17"/>
      <c r="CQ539" s="17"/>
      <c r="CR539" s="17"/>
      <c r="CS539" s="17"/>
      <c r="CT539" s="17"/>
      <c r="CU539" s="17"/>
      <c r="CV539" s="17"/>
      <c r="CW539" s="17"/>
      <c r="CX539" s="17"/>
      <c r="CY539" s="17"/>
      <c r="CZ539" s="17"/>
      <c r="DA539" s="17"/>
      <c r="DB539" s="17"/>
      <c r="DC539" s="17"/>
      <c r="DD539" s="17"/>
      <c r="DE539" s="17"/>
      <c r="DF539" s="17"/>
      <c r="DG539" s="17"/>
      <c r="DH539" s="17"/>
      <c r="DI539" s="17"/>
      <c r="DJ539" s="17"/>
      <c r="DK539" s="17"/>
      <c r="DL539" s="17"/>
      <c r="DM539" s="17"/>
      <c r="DN539" s="17"/>
      <c r="DO539" s="17"/>
      <c r="DP539" s="17"/>
      <c r="DQ539" s="17"/>
      <c r="DR539" s="17"/>
      <c r="DS539" s="17"/>
      <c r="DT539" s="17"/>
      <c r="DU539" s="17"/>
      <c r="DV539" s="17"/>
      <c r="DW539" s="17"/>
      <c r="DX539" s="17"/>
      <c r="DY539" s="17"/>
      <c r="DZ539" s="17"/>
      <c r="EA539" s="17"/>
      <c r="EB539" s="17"/>
      <c r="EC539" s="17"/>
    </row>
  </sheetData>
  <mergeCells count="8">
    <mergeCell ref="H2:H3"/>
    <mergeCell ref="I6:J6"/>
    <mergeCell ref="B2:B3"/>
    <mergeCell ref="C2:C3"/>
    <mergeCell ref="D2:D3"/>
    <mergeCell ref="E2:E3"/>
    <mergeCell ref="F2:F3"/>
    <mergeCell ref="G2:G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Web Analytic_Dataset</vt:lpstr>
      <vt:lpstr>Pivot Table</vt:lpstr>
      <vt:lpstr>Dashboard</vt:lpstr>
      <vt:lpstr>web_analytics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Prathamesh kedar</dc:creator>
  <cp:lastModifiedBy>Prathamesh Kedar</cp:lastModifiedBy>
  <dcterms:created xsi:type="dcterms:W3CDTF">2025-11-16T08:40:18Z</dcterms:created>
  <dcterms:modified xsi:type="dcterms:W3CDTF">2025-11-17T14:46:26Z</dcterms:modified>
</cp:coreProperties>
</file>